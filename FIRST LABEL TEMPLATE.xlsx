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63cb08a01bc137/MEU CONTROLE - DANIEL TAVARES/SAFRA 2026-2027/FATURAMENTO/FATURAMENTO EXPORTAÇÃO/"/>
    </mc:Choice>
  </mc:AlternateContent>
  <xr:revisionPtr revIDLastSave="157" documentId="13_ncr:1_{B7732501-D316-4EE2-9527-DE4C194C3904}" xr6:coauthVersionLast="47" xr6:coauthVersionMax="47" xr10:uidLastSave="{A0423389-3A40-48B9-BB91-E9A167695C14}"/>
  <bookViews>
    <workbookView xWindow="-120" yWindow="-120" windowWidth="24240" windowHeight="13020" activeTab="1" xr2:uid="{D2595C45-FD90-45C6-8C12-8E81040D8C0B}"/>
  </bookViews>
  <sheets>
    <sheet name="Melancia" sheetId="1" r:id="rId1"/>
    <sheet name="Melão" sheetId="5" r:id="rId2"/>
    <sheet name="Ref" sheetId="2" r:id="rId3"/>
    <sheet name="CalcRef" sheetId="3" state="hidden" r:id="rId4"/>
  </sheets>
  <definedNames>
    <definedName name="_xlnm.Print_Area" localSheetId="0">Melancia!$B$7:$G$19</definedName>
    <definedName name="_xlnm.Print_Area" localSheetId="1">Melão!$B$7:$G$19</definedName>
    <definedName name="PESO_SELECIONADO_MELANCIA">Melancia!$G$10</definedName>
    <definedName name="PESO_SELECIONADO_MELAO">Melão!$G$10</definedName>
    <definedName name="PESOS_DISPONIVEIS_MELANCIA">_xlfn.ANCHORARRAY(CalcRef!$C$4)</definedName>
    <definedName name="PESOS_DISPONIVEIS_MELAO">_xlfn.ANCHORARRAY(CalcRef!$D$4)</definedName>
    <definedName name="RAS_PROD_MELANCIA">Melancia!$D$2</definedName>
    <definedName name="RAS_PROD_MELAO">Melão!$D$2</definedName>
    <definedName name="RAS_SP_MELANCIA">Melancia!$D$4</definedName>
    <definedName name="RAS_SP_MELAO">Melão!$D$4</definedName>
    <definedName name="RAS_TP_MELANCIA">Melancia!$D$3</definedName>
    <definedName name="RAS_TP_MELAO">Melão!$D$3</definedName>
    <definedName name="VARIEDADE_MELANCIA">Melancia!$D$5</definedName>
    <definedName name="VARIEDADE_MELAO">Melão!$D$5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1" l="1"/>
  <c r="C16" i="1"/>
  <c r="C16" i="5"/>
  <c r="D16" i="1"/>
  <c r="D16" i="5"/>
  <c r="D19" i="5"/>
  <c r="G12" i="5"/>
  <c r="D4" i="3" a="1"/>
  <c r="D4" i="3" s="1"/>
  <c r="C4" i="3" a="1"/>
  <c r="C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<sst xmlns="http://schemas.openxmlformats.org/spreadsheetml/2006/main" count="77" uniqueCount="51">
  <si>
    <t>Wassermelonen - Watermelon - Pastèque - Sandías - Anguria - Melancia - ΚΑΡΠΟΥΖΙΑ - Watermeloen - Vesimeloni - Vattenmelon - Vandmeloner - Görögdinnye - Vodní meloun - Arbuz - Lubenica - Dyňa červená  - Lubenica  - Диня - Pepene rosu - Arbūzai - Lubenica - Arbūzi - Arbuusid</t>
  </si>
  <si>
    <t>Grower</t>
  </si>
  <si>
    <t>Klasse/Class/Cat. I</t>
  </si>
  <si>
    <t>Packhouse</t>
  </si>
  <si>
    <t>Supplier</t>
  </si>
  <si>
    <t>GR007198BBR999825</t>
  </si>
  <si>
    <t>Key</t>
  </si>
  <si>
    <t>Country of origin: Brazil
Brasilien - Brasil - Brésil - Brasil - Brasile - Brasil - Βραζιλία - Brazilië - Brasilia - Brasilien - Brasilien - Brazília - Brazílie - Brazylia - Brazil - Brazília - Brazilija - Бразилия - Brasilia - Brazilija - Brazil - Brazīlija - Brasiilia</t>
  </si>
  <si>
    <t>Erzeuger gemäß PPWR/Manufacturer according to PPWR/Fabricant selon PPWR/Fabricante conforme a PPWR/Fabbricante ai sensi del PPWR/Fabricante de acordo com o PPWR/Κατασκευαστής σύμφωνα με τον Κανονισμό PPWR/Fabrikant volgens PPWR/PPWR:n mukainen valmistaja/Tillverkare i enlighet med PPWR/Fabrikant i henhold til PPWR/PPWR szerinti előállító/Výrobce dle Nařízení o obalech (PPWR)/Wytwórca zgodnie z PPWR/Izrađivač u skladu s PPWR-om/Izdelovalec v skladu s PPWR/Произвеждащ оператор по PPWR/Fabricant în conformitate cu PPWR/Fizinis gamintojas pagal PPAR/Fizinis gamintojas pagal PPAR/Valmistaja vastavalt pakendimäärusele:
Global Fruit Point GmbH, Bahnhofstraße 16-18, 21614 
Buxtehude, Germany</t>
  </si>
  <si>
    <t>Traceability</t>
  </si>
  <si>
    <t>Variety: Paragon</t>
  </si>
  <si>
    <t>CARTONS</t>
  </si>
  <si>
    <t>CARTON</t>
  </si>
  <si>
    <t>RANGE OF WEIGHT BY SIZE</t>
  </si>
  <si>
    <t>SIZE RANGE OF WEIGHT</t>
  </si>
  <si>
    <t>Count 3 / 00,00 - 00,00</t>
  </si>
  <si>
    <t>Count 4 / 00,00 - 00,00</t>
  </si>
  <si>
    <t>Count 5 / 00,00 - 00,00</t>
  </si>
  <si>
    <t>Count 6 / 00,00 - 00,00</t>
  </si>
  <si>
    <t>Count 7 / 00,00 - 00,00</t>
  </si>
  <si>
    <t>Count 11 / 00,00 - 00,00</t>
  </si>
  <si>
    <t>Count 12 / 00,00 - 00,00</t>
  </si>
  <si>
    <t>Count 13 / 00,00 - 00,00</t>
  </si>
  <si>
    <t>Count 14 / 00,00 - 00,00</t>
  </si>
  <si>
    <t>Count 10 / 1,30 - 1,35</t>
  </si>
  <si>
    <t>Count 8 / 1,70 - 1,75</t>
  </si>
  <si>
    <t>Count 9 / 1,45 - 1,50</t>
  </si>
  <si>
    <t>Honigmelonen - Honeydew Melons - Melon canari - Melones amarillos - Melone giallo - Melão Amarelo - ΠΕΠΟΝΙΑ - Honingmeloen - Hunajameloni - Honungsmelon - Honningmeloner - Mézdinnye - Meloun cukrový žlutý - Melon miodowy - Dinja žuta - Žltý melón - Medena melona - Пъпеш "Медна роса" - Pepene galben - Geltonasis melionas - Dinja medena - Dzeltenās melones - Mesimelon</t>
  </si>
  <si>
    <t>GGN 4063651666489</t>
  </si>
  <si>
    <t>Potiguar Fruit Importação e Exportação LTDA</t>
  </si>
  <si>
    <t>Assentamento Santa Maria, n°98, Zona Rural</t>
  </si>
  <si>
    <t>59.510-000 - Afonso Bezerra - Brasil</t>
  </si>
  <si>
    <t>Available Types Watermelon</t>
  </si>
  <si>
    <t>Available Types Melon</t>
  </si>
  <si>
    <t>Count 5 / 1,63 - 2,75</t>
  </si>
  <si>
    <t>Count 6 / 1,50 - 2,25</t>
  </si>
  <si>
    <t>Count 7 / 1,30 - 1,95</t>
  </si>
  <si>
    <t>Count 8 / 1,10 - 1,65</t>
  </si>
  <si>
    <t>Count 9 / 1,00 - 1,50</t>
  </si>
  <si>
    <t>Count 10 / 0,90 - 1,50</t>
  </si>
  <si>
    <t>Count 11 / 0,82 - 1,23</t>
  </si>
  <si>
    <t>Count 12 / 0,75 - 1,10</t>
  </si>
  <si>
    <t>Count 13 / 0,70 - 1,05</t>
  </si>
  <si>
    <t>Count 14 / 0,60 - 0,90</t>
  </si>
  <si>
    <t>TRANSPORT TRACEABILITY</t>
  </si>
  <si>
    <t>SALES TRACEABILITY</t>
  </si>
  <si>
    <t>PRODUCTION TRACEABILITY</t>
  </si>
  <si>
    <t>VARIETY</t>
  </si>
  <si>
    <t>GOLDEX</t>
  </si>
  <si>
    <t>TP-2026330001</t>
  </si>
  <si>
    <t>SP-2026330001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</si>
</sst>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kg&quot;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4"/>
      <color rgb="FF000000"/>
      <name val="Arial"/>
      <family val="2"/>
    </font>
    <font>
      <b/>
      <sz val="48"/>
      <name val="Arial"/>
      <family val="2"/>
    </font>
    <font>
      <b/>
      <sz val="72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13.5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/>
    <xf numFmtId="0" fontId="10" fillId="2" borderId="0" applyNumberFormat="0" applyBorder="0" applyAlignment="0" applyProtection="0"/>
    <xf numFmtId="0" fontId="14" fillId="0" borderId="5" applyNumberFormat="0" applyFill="0" applyAlignment="0" applyProtection="0"/>
  </cellStyleXfs>
  <cellXfs count="2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9" fillId="2" borderId="0" xfId="2" applyFont="1" applyAlignment="1">
      <alignment horizontal="center" vertical="center"/>
    </xf>
    <xf numFmtId="0" fontId="14" fillId="0" borderId="5" xfId="3"/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5" xfId="3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2" borderId="0" xfId="2" applyFont="1" applyAlignment="1">
      <alignment horizontal="center"/>
    </xf>
    <xf numFmtId="0" fontId="14" fillId="0" borderId="5" xfId="3" applyAlignment="1">
      <alignment horizontal="center" vertical="center"/>
    </xf>
  </cellXfs>
  <cellStyles count="4">
    <cellStyle name="Ênfase1" xfId="2" builtinId="29"/>
    <cellStyle name="Normal" xfId="0" builtinId="0"/>
    <cellStyle name="Standard 2" xfId="1" xr:uid="{22F1FE0F-2E81-4C02-9EE4-C7848E1F4962}"/>
    <cellStyle name="Título 3" xfId="3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3846195</xdr:colOff>
      <xdr:row>17</xdr:row>
      <xdr:rowOff>1779088</xdr:rowOff>
    </xdr:from>
    <xdr:to>
      <xdr:col>6</xdr:col>
      <xdr:colOff>4716780</xdr:colOff>
      <xdr:row>17</xdr:row>
      <xdr:rowOff>2625090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0E1F31-3A3E-C74B-569B-D9AEE516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995" y="6617788"/>
          <a:ext cx="864870" cy="8440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3846195</xdr:colOff>
      <xdr:row>17</xdr:row>
      <xdr:rowOff>1779088</xdr:rowOff>
    </xdr:from>
    <xdr:to>
      <xdr:col>6</xdr:col>
      <xdr:colOff>4716780</xdr:colOff>
      <xdr:row>17</xdr:row>
      <xdr:rowOff>2625090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4C015C-6FD7-4942-98E0-AA1477432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6995" y="7570288"/>
          <a:ext cx="870585" cy="8460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492FE-1CDF-42E7-A34A-0BCCA283D346}" name="TIPOPESO" displayName="TIPOPESO" ref="G4:H26" totalsRowShown="0">
  <autoFilter ref="G4:H26" xr:uid="{6C2492FE-1CDF-42E7-A34A-0BCCA283D346}"/>
  <tableColumns count="2">
    <tableColumn id="2" xr3:uid="{DE43000D-F633-440E-90D1-CBBF4D6B1E0F}" name="CARTON"/>
    <tableColumn id="3" xr3:uid="{E03B8F27-7D5C-485B-BC4E-AF684DA7AF2E}" name="SIZE RANGE OF 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470C86-98B0-47C3-87A9-40E64A323F7E}" name="Tabela2" displayName="Tabela2" ref="D4:D7" totalsRowShown="0">
  <autoFilter ref="D4:D7" xr:uid="{FB470C86-98B0-47C3-87A9-40E64A323F7E}"/>
  <tableColumns count="1">
    <tableColumn id="1" xr3:uid="{58193AE7-3324-4AE4-B75D-F12ADE191602}" name="CART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95AF-F12D-4C21-89D4-8E2B4A88C7BE}">
  <sheetPr>
    <pageSetUpPr fitToPage="1"/>
  </sheetPr>
  <dimension ref="B2:G19"/>
  <sheetViews>
    <sheetView topLeftCell="A7" workbookViewId="0">
      <selection activeCell="I8" sqref="I8"/>
    </sheetView>
  </sheetViews>
  <sheetFormatPr defaultColWidth="11.42578125" defaultRowHeight="15" x14ac:dyDescent="0.25"/>
  <cols>
    <col min="1" max="1" width="3.140625" customWidth="1"/>
    <col min="2" max="2" width="15.7109375" customWidth="1"/>
    <col min="3" max="3" width="20.28515625" customWidth="1"/>
    <col min="4" max="4" width="12" customWidth="1"/>
    <col min="5" max="5" width="26.42578125" customWidth="1"/>
    <col min="6" max="6" width="2" customWidth="1"/>
    <col min="7" max="7" width="72.85546875" customWidth="1"/>
  </cols>
  <sheetData>
    <row r="2" spans="2:7" ht="15.75" thickBot="1" x14ac:dyDescent="0.3">
      <c r="B2" s="13" t="s">
        <v>46</v>
      </c>
      <c r="C2" s="13"/>
      <c r="D2" s="7"/>
    </row>
    <row r="3" spans="2:7" ht="15.75" thickBot="1" x14ac:dyDescent="0.3">
      <c r="B3" s="13" t="s">
        <v>44</v>
      </c>
      <c r="C3" s="13"/>
      <c r="D3" s="7"/>
    </row>
    <row r="4" spans="2:7" ht="15.75" thickBot="1" x14ac:dyDescent="0.3">
      <c r="B4" s="13" t="s">
        <v>45</v>
      </c>
      <c r="C4" s="13"/>
      <c r="D4" s="7"/>
    </row>
    <row r="5" spans="2:7" ht="15.75" thickBot="1" x14ac:dyDescent="0.3">
      <c r="B5" s="13" t="s">
        <v>47</v>
      </c>
      <c r="C5" s="13"/>
      <c r="D5" s="7"/>
    </row>
    <row r="7" spans="2:7" ht="82.5" customHeight="1" x14ac:dyDescent="0.25">
      <c r="B7" s="20" t="s">
        <v>0</v>
      </c>
      <c r="C7" s="20"/>
      <c r="D7" s="20"/>
      <c r="E7" s="20"/>
      <c r="F7" s="20"/>
      <c r="G7" s="4">
        <v>80575</v>
      </c>
    </row>
    <row r="8" spans="2:7" ht="87.75" customHeight="1" x14ac:dyDescent="0.25">
      <c r="B8" s="20"/>
      <c r="C8" s="20"/>
      <c r="D8" s="20"/>
      <c r="E8" s="20"/>
      <c r="F8" s="20"/>
      <c r="G8" s="3" t="s">
        <v>7</v>
      </c>
    </row>
    <row r="9" spans="2:7" ht="24" customHeight="1" x14ac:dyDescent="0.25">
      <c r="B9" s="5" t="s">
        <v>1</v>
      </c>
      <c r="C9" s="16" t="s">
        <v>28</v>
      </c>
      <c r="D9" s="16"/>
      <c r="E9" s="16"/>
      <c r="F9" s="16"/>
      <c r="G9" s="1" t="s">
        <v>2</v>
      </c>
    </row>
    <row r="10" spans="2:7" ht="27.75" customHeight="1" x14ac:dyDescent="0.25">
      <c r="B10" s="14" t="s">
        <v>3</v>
      </c>
      <c r="C10" s="15" t="s">
        <v>29</v>
      </c>
      <c r="D10" s="15"/>
      <c r="E10" s="15"/>
      <c r="F10" s="15"/>
      <c r="G10" s="21">
        <v>13</v>
      </c>
    </row>
    <row r="11" spans="2:7" ht="33" customHeight="1" x14ac:dyDescent="0.25">
      <c r="B11" s="14"/>
      <c r="C11" s="22" t="s">
        <v>30</v>
      </c>
      <c r="D11" s="22"/>
      <c r="E11" s="22"/>
      <c r="F11" s="22"/>
      <c r="G11" s="21"/>
    </row>
    <row r="12" spans="2:7" ht="24" customHeight="1" x14ac:dyDescent="0.25">
      <c r="B12" s="14"/>
      <c r="C12" s="22" t="s">
        <v>31</v>
      </c>
      <c r="D12" s="22"/>
      <c r="E12" s="22"/>
      <c r="F12" s="22"/>
      <c r="G12" s="23" t="s">
        <v>10</v>
      </c>
    </row>
    <row r="13" spans="2:7" ht="24" customHeight="1" x14ac:dyDescent="0.25">
      <c r="B13" s="14"/>
      <c r="C13" s="17" t="s">
        <v>28</v>
      </c>
      <c r="D13" s="17"/>
      <c r="E13" s="17"/>
      <c r="F13" s="17"/>
      <c r="G13" s="23"/>
    </row>
    <row r="14" spans="2:7" ht="24" customHeight="1" x14ac:dyDescent="0.25">
      <c r="B14" s="14" t="s">
        <v>4</v>
      </c>
      <c r="C14" s="15" t="s">
        <v>29</v>
      </c>
      <c r="D14" s="15"/>
      <c r="E14" s="15"/>
      <c r="F14" s="15"/>
      <c r="G14" s="2" t="s">
        <v>25</v>
      </c>
    </row>
    <row r="15" spans="2:7" ht="24" customHeight="1" x14ac:dyDescent="0.25">
      <c r="B15" s="14"/>
      <c r="C15" s="17" t="s">
        <v>28</v>
      </c>
      <c r="D15" s="17"/>
      <c r="E15" s="17"/>
      <c r="F15" s="17"/>
      <c r="G15" s="2" t="s">
        <v>5</v>
      </c>
    </row>
    <row r="16" spans="2:7" ht="15" customHeight="1" x14ac:dyDescent="0.25">
      <c r="B16" s="14" t="s">
        <v>6</v>
      </c>
      <c r="C16" s="18" t="str">
        <f>_xlfn.CONCAT("120   |   ",RAS_PROD_MELANCIA)</f>
        <v xml:space="preserve">120   |   </v>
      </c>
      <c r="D16" s="18" t="str">
        <f ca="1">_xlfn.CONCAT("L ",WEEKNUM(TODAY())," - ",WEEKDAY(TODAY(),2))</f>
        <v>L 33 - 5</v>
      </c>
      <c r="E16" s="19" t="s">
        <v>8</v>
      </c>
      <c r="F16" s="19"/>
      <c r="G16" s="19"/>
    </row>
    <row r="17" spans="2:7" ht="15" customHeight="1" x14ac:dyDescent="0.25">
      <c r="B17" s="14"/>
      <c r="C17" s="18"/>
      <c r="D17" s="18"/>
      <c r="E17" s="19"/>
      <c r="F17" s="19"/>
      <c r="G17" s="19"/>
    </row>
    <row r="18" spans="2:7" ht="213.75" customHeight="1" x14ac:dyDescent="0.25">
      <c r="B18" s="14"/>
      <c r="C18" s="18"/>
      <c r="D18" s="18"/>
      <c r="E18" s="19"/>
      <c r="F18" s="19"/>
      <c r="G18" s="19"/>
    </row>
    <row r="19" spans="2:7" ht="33" customHeight="1" x14ac:dyDescent="0.25">
      <c r="B19" s="8" t="s">
        <v>9</v>
      </c>
      <c r="C19" s="9"/>
      <c r="D19" s="10" t="str">
        <f>_xlfn.CONCAT("Production: ",RAS_PROD_MELANCIA," - Transport package: ",RAS_TP_MELANCIA," - Sales package: ",RAS_SP_MELANCIA)</f>
        <v xml:space="preserve">Production:  - Transport package:  - Sales package: </v>
      </c>
      <c r="E19" s="11"/>
      <c r="F19" s="11"/>
      <c r="G19" s="12"/>
    </row>
  </sheetData>
  <mergeCells count="22">
    <mergeCell ref="B19:C19"/>
    <mergeCell ref="D19:G19"/>
    <mergeCell ref="B14:B15"/>
    <mergeCell ref="B16:B18"/>
    <mergeCell ref="C16:C18"/>
    <mergeCell ref="D16:D18"/>
    <mergeCell ref="B10:B13"/>
    <mergeCell ref="E16:G18"/>
    <mergeCell ref="C9:F9"/>
    <mergeCell ref="C10:F10"/>
    <mergeCell ref="C11:F11"/>
    <mergeCell ref="C12:F12"/>
    <mergeCell ref="C13:F13"/>
    <mergeCell ref="C14:F14"/>
    <mergeCell ref="C15:F15"/>
    <mergeCell ref="G10:G11"/>
    <mergeCell ref="G12:G13"/>
    <mergeCell ref="B2:C2"/>
    <mergeCell ref="B3:C3"/>
    <mergeCell ref="B4:C4"/>
    <mergeCell ref="B5:C5"/>
    <mergeCell ref="B7:F8"/>
  </mergeCells>
  <dataValidations count="1">
    <dataValidation type="list" allowBlank="1" showInputMessage="1" showErrorMessage="1" sqref="G14" xr:uid="{16859712-CCA8-4215-B3BE-58C6DCEB25B4}">
      <formula1>PESOS_DISPONIVEIS_MELANCIA</formula1>
    </dataValidation>
  </dataValidations>
  <pageMargins left="0.05" right="0" top="0" bottom="0" header="0" footer="0"/>
  <pageSetup paperSize="257" scale="43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D319-6906-44EF-B075-031561912FA8}">
  <sheetPr>
    <pageSetUpPr fitToPage="1"/>
  </sheetPr>
  <dimension ref="B2:G19"/>
  <sheetViews>
    <sheetView tabSelected="1" topLeftCell="A11" workbookViewId="0">
      <selection activeCell="G14" sqref="G14"/>
    </sheetView>
  </sheetViews>
  <sheetFormatPr defaultColWidth="11.42578125" defaultRowHeight="15" x14ac:dyDescent="0.25"/>
  <cols>
    <col min="1" max="1" width="3.140625" customWidth="1"/>
    <col min="2" max="2" width="16" customWidth="1"/>
    <col min="3" max="3" width="21.5703125" customWidth="1"/>
    <col min="4" max="4" width="13.28515625" customWidth="1"/>
    <col min="5" max="5" width="26.42578125" customWidth="1"/>
    <col min="6" max="6" width="8" customWidth="1"/>
    <col min="7" max="7" width="74.140625" customWidth="1"/>
  </cols>
  <sheetData>
    <row r="2" spans="2:7" ht="15.75" thickBot="1" x14ac:dyDescent="0.3">
      <c r="B2" s="13" t="s">
        <v>46</v>
      </c>
      <c r="C2" s="13"/>
      <c r="D2" s="25">
        <v>101201223</v>
      </c>
    </row>
    <row r="3" spans="2:7" ht="15.75" thickBot="1" x14ac:dyDescent="0.3">
      <c r="B3" s="13" t="s">
        <v>44</v>
      </c>
      <c r="C3" s="13"/>
      <c r="D3" s="25" t="s">
        <v>49</v>
      </c>
    </row>
    <row r="4" spans="2:7" ht="15.75" thickBot="1" x14ac:dyDescent="0.3">
      <c r="B4" s="13" t="s">
        <v>45</v>
      </c>
      <c r="C4" s="13"/>
      <c r="D4" s="25" t="s">
        <v>50</v>
      </c>
    </row>
    <row r="5" spans="2:7" ht="15.75" thickBot="1" x14ac:dyDescent="0.3">
      <c r="B5" s="13" t="s">
        <v>47</v>
      </c>
      <c r="C5" s="13"/>
      <c r="D5" s="25" t="s">
        <v>48</v>
      </c>
    </row>
    <row r="7" spans="2:7" ht="82.5" customHeight="1" x14ac:dyDescent="0.25">
      <c r="B7" s="20" t="s">
        <v>27</v>
      </c>
      <c r="C7" s="20"/>
      <c r="D7" s="20"/>
      <c r="E7" s="20"/>
      <c r="F7" s="20"/>
      <c r="G7" s="4">
        <v>80550</v>
      </c>
    </row>
    <row r="8" spans="2:7" ht="87.75" customHeight="1" x14ac:dyDescent="0.25">
      <c r="B8" s="20"/>
      <c r="C8" s="20"/>
      <c r="D8" s="20"/>
      <c r="E8" s="20"/>
      <c r="F8" s="20"/>
      <c r="G8" s="3" t="s">
        <v>7</v>
      </c>
    </row>
    <row r="9" spans="2:7" ht="24" customHeight="1" x14ac:dyDescent="0.25">
      <c r="B9" s="5" t="s">
        <v>1</v>
      </c>
      <c r="C9" s="16" t="s">
        <v>28</v>
      </c>
      <c r="D9" s="16"/>
      <c r="E9" s="16"/>
      <c r="F9" s="16"/>
      <c r="G9" s="1" t="s">
        <v>2</v>
      </c>
    </row>
    <row r="10" spans="2:7" ht="27.75" customHeight="1" x14ac:dyDescent="0.25">
      <c r="B10" s="14" t="s">
        <v>3</v>
      </c>
      <c r="C10" s="15" t="s">
        <v>29</v>
      </c>
      <c r="D10" s="15"/>
      <c r="E10" s="15"/>
      <c r="F10" s="15"/>
      <c r="G10" s="21">
        <v>10</v>
      </c>
    </row>
    <row r="11" spans="2:7" ht="33" customHeight="1" x14ac:dyDescent="0.25">
      <c r="B11" s="14"/>
      <c r="C11" s="22" t="s">
        <v>30</v>
      </c>
      <c r="D11" s="22"/>
      <c r="E11" s="22"/>
      <c r="F11" s="22"/>
      <c r="G11" s="21"/>
    </row>
    <row r="12" spans="2:7" ht="24" customHeight="1" x14ac:dyDescent="0.25">
      <c r="B12" s="14"/>
      <c r="C12" s="22" t="s">
        <v>31</v>
      </c>
      <c r="D12" s="22"/>
      <c r="E12" s="22"/>
      <c r="F12" s="22"/>
      <c r="G12" s="23" t="str">
        <f>_xlfn.CONCAT("Variety: ",VARIEDADE_MELAO)</f>
        <v>Variety: GOLDEX</v>
      </c>
    </row>
    <row r="13" spans="2:7" ht="24" customHeight="1" x14ac:dyDescent="0.25">
      <c r="B13" s="14"/>
      <c r="C13" s="16" t="s">
        <v>28</v>
      </c>
      <c r="D13" s="17"/>
      <c r="E13" s="17"/>
      <c r="F13" s="17"/>
      <c r="G13" s="23"/>
    </row>
    <row r="14" spans="2:7" ht="24" customHeight="1" x14ac:dyDescent="0.25">
      <c r="B14" s="14" t="s">
        <v>4</v>
      </c>
      <c r="C14" s="15" t="s">
        <v>29</v>
      </c>
      <c r="D14" s="15"/>
      <c r="E14" s="15"/>
      <c r="F14" s="15"/>
      <c r="G14" s="2" t="s">
        <v>34</v>
      </c>
    </row>
    <row r="15" spans="2:7" ht="24" customHeight="1" x14ac:dyDescent="0.25">
      <c r="B15" s="14"/>
      <c r="C15" s="16" t="s">
        <v>28</v>
      </c>
      <c r="D15" s="17"/>
      <c r="E15" s="17"/>
      <c r="F15" s="17"/>
      <c r="G15" s="2" t="s">
        <v>5</v>
      </c>
    </row>
    <row r="16" spans="2:7" ht="15" customHeight="1" x14ac:dyDescent="0.25">
      <c r="B16" s="14" t="s">
        <v>6</v>
      </c>
      <c r="C16" s="18" t="str">
        <f>_xlfn.CONCAT("120   |   ",RAS_PROD_MELAO)</f>
        <v>120   |   101201223</v>
      </c>
      <c r="D16" s="18" t="str">
        <f ca="1">_xlfn.CONCAT("L ",WEEKNUM(TODAY())," - ",WEEKDAY(TODAY(),2))</f>
        <v>L 33 - 5</v>
      </c>
      <c r="E16" s="19" t="s">
        <v>8</v>
      </c>
      <c r="F16" s="19"/>
      <c r="G16" s="19"/>
    </row>
    <row r="17" spans="2:7" ht="15" customHeight="1" x14ac:dyDescent="0.25">
      <c r="B17" s="14"/>
      <c r="C17" s="18"/>
      <c r="D17" s="18"/>
      <c r="E17" s="19"/>
      <c r="F17" s="19"/>
      <c r="G17" s="19"/>
    </row>
    <row r="18" spans="2:7" ht="213.75" customHeight="1" x14ac:dyDescent="0.25">
      <c r="B18" s="14"/>
      <c r="C18" s="18"/>
      <c r="D18" s="18"/>
      <c r="E18" s="19"/>
      <c r="F18" s="19"/>
      <c r="G18" s="19"/>
    </row>
    <row r="19" spans="2:7" ht="33" customHeight="1" x14ac:dyDescent="0.25">
      <c r="B19" s="8" t="s">
        <v>9</v>
      </c>
      <c r="C19" s="9"/>
      <c r="D19" s="10" t="str">
        <f>_xlfn.CONCAT("Production: ",RAS_PROD_MELAO," - Transport package: ",RAS_TP_MELAO," - Sales package: ",RAS_SP_MELAO)</f>
        <v>Production: 101201223 - Transport package: TP-2026330001 - Sales package: SP-2026330001</v>
      </c>
      <c r="E19" s="11"/>
      <c r="F19" s="11"/>
      <c r="G19" s="12"/>
    </row>
  </sheetData>
  <mergeCells count="22">
    <mergeCell ref="C10:F10"/>
    <mergeCell ref="G10:G11"/>
    <mergeCell ref="C11:F11"/>
    <mergeCell ref="C12:F12"/>
    <mergeCell ref="G12:G13"/>
    <mergeCell ref="C13:F13"/>
    <mergeCell ref="B19:C19"/>
    <mergeCell ref="D19:G19"/>
    <mergeCell ref="B2:C2"/>
    <mergeCell ref="B3:C3"/>
    <mergeCell ref="B4:C4"/>
    <mergeCell ref="B5:C5"/>
    <mergeCell ref="B14:B15"/>
    <mergeCell ref="C14:F14"/>
    <mergeCell ref="C15:F15"/>
    <mergeCell ref="B16:B18"/>
    <mergeCell ref="C16:C18"/>
    <mergeCell ref="D16:D18"/>
    <mergeCell ref="E16:G18"/>
    <mergeCell ref="B7:F8"/>
    <mergeCell ref="C9:F9"/>
    <mergeCell ref="B10:B13"/>
  </mergeCells>
  <dataValidations count="1">
    <dataValidation type="list" allowBlank="1" showInputMessage="1" showErrorMessage="1" sqref="G14" xr:uid="{360C23CA-651C-4F3F-8497-9C07005DF2A9}">
      <formula1>PESOS_DISPONIVEIS_MELAO</formula1>
    </dataValidation>
  </dataValidations>
  <pageMargins left="7.0000000000000007E-2" right="0" top="7.0000000000000007E-2" bottom="0" header="0" footer="0"/>
  <pageSetup paperSize="257" scale="92" orientation="landscape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4481-437F-4D35-B1D2-9D60B22416F1}">
  <dimension ref="D3:H26"/>
  <sheetViews>
    <sheetView workbookViewId="0">
      <selection activeCell="D7" sqref="D7"/>
    </sheetView>
  </sheetViews>
  <sheetFormatPr defaultRowHeight="15" x14ac:dyDescent="0.25"/>
  <cols>
    <col min="4" max="4" width="13.42578125" customWidth="1"/>
    <col min="5" max="5" width="3.85546875" customWidth="1"/>
    <col min="7" max="7" width="10.42578125" customWidth="1"/>
    <col min="8" max="8" width="25.7109375" bestFit="1" customWidth="1"/>
  </cols>
  <sheetData>
    <row r="3" spans="4:8" x14ac:dyDescent="0.25">
      <c r="D3" s="6" t="s">
        <v>11</v>
      </c>
      <c r="G3" s="24" t="s">
        <v>13</v>
      </c>
      <c r="H3" s="24"/>
    </row>
    <row r="4" spans="4:8" x14ac:dyDescent="0.25">
      <c r="D4" t="s">
        <v>12</v>
      </c>
      <c r="G4" t="s">
        <v>12</v>
      </c>
      <c r="H4" t="s">
        <v>14</v>
      </c>
    </row>
    <row r="5" spans="4:8" x14ac:dyDescent="0.25">
      <c r="D5">
        <v>10</v>
      </c>
      <c r="G5">
        <v>13</v>
      </c>
      <c r="H5" t="s">
        <v>15</v>
      </c>
    </row>
    <row r="6" spans="4:8" x14ac:dyDescent="0.25">
      <c r="D6">
        <v>13</v>
      </c>
      <c r="G6">
        <v>13</v>
      </c>
      <c r="H6" t="s">
        <v>16</v>
      </c>
    </row>
    <row r="7" spans="4:8" x14ac:dyDescent="0.25">
      <c r="D7">
        <v>16</v>
      </c>
      <c r="G7">
        <v>13</v>
      </c>
      <c r="H7" t="s">
        <v>17</v>
      </c>
    </row>
    <row r="8" spans="4:8" x14ac:dyDescent="0.25">
      <c r="G8">
        <v>13</v>
      </c>
      <c r="H8" t="s">
        <v>18</v>
      </c>
    </row>
    <row r="9" spans="4:8" x14ac:dyDescent="0.25">
      <c r="G9">
        <v>13</v>
      </c>
      <c r="H9" t="s">
        <v>19</v>
      </c>
    </row>
    <row r="10" spans="4:8" x14ac:dyDescent="0.25">
      <c r="G10">
        <v>13</v>
      </c>
      <c r="H10" t="s">
        <v>25</v>
      </c>
    </row>
    <row r="11" spans="4:8" x14ac:dyDescent="0.25">
      <c r="G11">
        <v>13</v>
      </c>
      <c r="H11" t="s">
        <v>26</v>
      </c>
    </row>
    <row r="12" spans="4:8" x14ac:dyDescent="0.25">
      <c r="G12">
        <v>13</v>
      </c>
      <c r="H12" t="s">
        <v>24</v>
      </c>
    </row>
    <row r="13" spans="4:8" x14ac:dyDescent="0.25">
      <c r="G13">
        <v>13</v>
      </c>
      <c r="H13" t="s">
        <v>20</v>
      </c>
    </row>
    <row r="14" spans="4:8" x14ac:dyDescent="0.25">
      <c r="G14">
        <v>13</v>
      </c>
      <c r="H14" t="s">
        <v>21</v>
      </c>
    </row>
    <row r="15" spans="4:8" x14ac:dyDescent="0.25">
      <c r="G15">
        <v>13</v>
      </c>
      <c r="H15" t="s">
        <v>22</v>
      </c>
    </row>
    <row r="16" spans="4:8" x14ac:dyDescent="0.25">
      <c r="G16">
        <v>13</v>
      </c>
      <c r="H16" t="s">
        <v>23</v>
      </c>
    </row>
    <row r="17" spans="7:8" x14ac:dyDescent="0.25">
      <c r="G17">
        <v>10</v>
      </c>
      <c r="H17" t="s">
        <v>34</v>
      </c>
    </row>
    <row r="18" spans="7:8" x14ac:dyDescent="0.25">
      <c r="G18">
        <v>10</v>
      </c>
      <c r="H18" t="s">
        <v>35</v>
      </c>
    </row>
    <row r="19" spans="7:8" x14ac:dyDescent="0.25">
      <c r="G19">
        <v>10</v>
      </c>
      <c r="H19" t="s">
        <v>36</v>
      </c>
    </row>
    <row r="20" spans="7:8" x14ac:dyDescent="0.25">
      <c r="G20">
        <v>10</v>
      </c>
      <c r="H20" t="s">
        <v>37</v>
      </c>
    </row>
    <row r="21" spans="7:8" x14ac:dyDescent="0.25">
      <c r="G21">
        <v>10</v>
      </c>
      <c r="H21" t="s">
        <v>38</v>
      </c>
    </row>
    <row r="22" spans="7:8" x14ac:dyDescent="0.25">
      <c r="G22">
        <v>10</v>
      </c>
      <c r="H22" t="s">
        <v>39</v>
      </c>
    </row>
    <row r="23" spans="7:8" x14ac:dyDescent="0.25">
      <c r="G23">
        <v>10</v>
      </c>
      <c r="H23" t="s">
        <v>40</v>
      </c>
    </row>
    <row r="24" spans="7:8" x14ac:dyDescent="0.25">
      <c r="G24">
        <v>10</v>
      </c>
      <c r="H24" t="s">
        <v>41</v>
      </c>
    </row>
    <row r="25" spans="7:8" x14ac:dyDescent="0.25">
      <c r="G25">
        <v>10</v>
      </c>
      <c r="H25" t="s">
        <v>42</v>
      </c>
    </row>
    <row r="26" spans="7:8" x14ac:dyDescent="0.25">
      <c r="G26">
        <v>10</v>
      </c>
      <c r="H26" t="s">
        <v>43</v>
      </c>
    </row>
  </sheetData>
  <mergeCells count="1">
    <mergeCell ref="G3:H3"/>
  </mergeCells>
  <phoneticPr fontId="13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7E61-6CDC-4593-BBEE-C3AC4FC9D355}">
  <dimension ref="C3:D15"/>
  <sheetViews>
    <sheetView workbookViewId="0">
      <selection activeCell="D4" sqref="D4"/>
    </sheetView>
  </sheetViews>
  <sheetFormatPr defaultRowHeight="15" x14ac:dyDescent="0.25"/>
  <cols>
    <col min="3" max="4" width="21.140625" bestFit="1" customWidth="1"/>
  </cols>
  <sheetData>
    <row r="3" spans="3:4" x14ac:dyDescent="0.25">
      <c r="C3" t="s">
        <v>32</v>
      </c>
      <c r="D3" t="s">
        <v>33</v>
      </c>
    </row>
    <row r="4" spans="3:4" x14ac:dyDescent="0.25">
      <c r="C4" t="str" cm="1">
        <f t="array" ref="C4:C15">_xlfn._xlws.FILTER(TIPOPESO[SIZE RANGE OF WEIGHT],TIPOPESO[CARTON]=PESO_SELECIONADO_MELANCIA,"")</f>
        <v>Count 3 / 00,00 - 00,00</v>
      </c>
      <c r="D4" t="str" cm="1">
        <f t="array" ref="D4:D13">_xlfn._xlws.FILTER(TIPOPESO[SIZE RANGE OF WEIGHT],TIPOPESO[CARTON]=PESO_SELECIONADO_MELAO,"")</f>
        <v>Count 5 / 1,63 - 2,75</v>
      </c>
    </row>
    <row r="5" spans="3:4" x14ac:dyDescent="0.25">
      <c r="C5" t="str">
        <v>Count 4 / 00,00 - 00,00</v>
      </c>
      <c r="D5" t="str">
        <v>Count 6 / 1,50 - 2,25</v>
      </c>
    </row>
    <row r="6" spans="3:4" x14ac:dyDescent="0.25">
      <c r="C6" t="str">
        <v>Count 5 / 00,00 - 00,00</v>
      </c>
      <c r="D6" t="str">
        <v>Count 7 / 1,30 - 1,95</v>
      </c>
    </row>
    <row r="7" spans="3:4" x14ac:dyDescent="0.25">
      <c r="C7" t="str">
        <v>Count 6 / 00,00 - 00,00</v>
      </c>
      <c r="D7" t="str">
        <v>Count 8 / 1,10 - 1,65</v>
      </c>
    </row>
    <row r="8" spans="3:4" x14ac:dyDescent="0.25">
      <c r="C8" t="str">
        <v>Count 7 / 00,00 - 00,00</v>
      </c>
      <c r="D8" t="str">
        <v>Count 9 / 1,00 - 1,50</v>
      </c>
    </row>
    <row r="9" spans="3:4" x14ac:dyDescent="0.25">
      <c r="C9" t="str">
        <v>Count 8 / 1,70 - 1,75</v>
      </c>
      <c r="D9" t="str">
        <v>Count 10 / 0,90 - 1,50</v>
      </c>
    </row>
    <row r="10" spans="3:4" x14ac:dyDescent="0.25">
      <c r="C10" t="str">
        <v>Count 9 / 1,45 - 1,50</v>
      </c>
      <c r="D10" t="str">
        <v>Count 11 / 0,82 - 1,23</v>
      </c>
    </row>
    <row r="11" spans="3:4" x14ac:dyDescent="0.25">
      <c r="C11" t="str">
        <v>Count 10 / 1,30 - 1,35</v>
      </c>
      <c r="D11" t="str">
        <v>Count 12 / 0,75 - 1,10</v>
      </c>
    </row>
    <row r="12" spans="3:4" x14ac:dyDescent="0.25">
      <c r="C12" t="str">
        <v>Count 11 / 00,00 - 00,00</v>
      </c>
      <c r="D12" t="str">
        <v>Count 13 / 0,70 - 1,05</v>
      </c>
    </row>
    <row r="13" spans="3:4" x14ac:dyDescent="0.25">
      <c r="C13" t="str">
        <v>Count 12 / 00,00 - 00,00</v>
      </c>
      <c r="D13" t="str">
        <v>Count 14 / 0,60 - 0,90</v>
      </c>
    </row>
    <row r="14" spans="3:4" x14ac:dyDescent="0.25">
      <c r="C14" t="str">
        <v>Count 13 / 00,00 - 00,00</v>
      </c>
    </row>
    <row r="15" spans="3:4" x14ac:dyDescent="0.25">
      <c r="C15" t="str">
        <v>Count 14 / 00,00 - 00,00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12</vt:i4>
      </vt:variant>
    </vt:vector>
  </HeadingPairs>
  <TitlesOfParts>
    <vt:vector size="16" baseType="lpstr">
      <vt:lpstr>Melancia</vt:lpstr>
      <vt:lpstr>Melão</vt:lpstr>
      <vt:lpstr>Ref</vt:lpstr>
      <vt:lpstr>CalcRef</vt:lpstr>
      <vt:lpstr>Melancia!Area_de_impressao</vt:lpstr>
      <vt:lpstr>Melão!Area_de_impressao</vt:lpstr>
      <vt:lpstr>PESO_SELECIONADO_MELANCIA</vt:lpstr>
      <vt:lpstr>PESO_SELECIONADO_MELAO</vt:lpstr>
      <vt:lpstr>RAS_PROD_MELANCIA</vt:lpstr>
      <vt:lpstr>RAS_PROD_MELAO</vt:lpstr>
      <vt:lpstr>RAS_SP_MELANCIA</vt:lpstr>
      <vt:lpstr>RAS_SP_MELAO</vt:lpstr>
      <vt:lpstr>RAS_TP_MELANCIA</vt:lpstr>
      <vt:lpstr>RAS_TP_MELAO</vt:lpstr>
      <vt:lpstr>VARIEDADE_MELANCIA</vt:lpstr>
      <vt:lpstr>VARIEDADE_MELAO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 DA CUNHA NETO</dc:creator>
  <cp:lastModifiedBy>JOÃO BATISTA DA CUNHA NETO</cp:lastModifiedBy>
  <cp:lastPrinted>2026-08-14T12:56:59Z</cp:lastPrinted>
  <dcterms:created xsi:type="dcterms:W3CDTF">2026-08-05T17:08:07Z</dcterms:created>
  <dcterms:modified xsi:type="dcterms:W3CDTF">2026-08-14T19:03:04Z</dcterms:modified>
</cp:coreProperties>
</file>