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63cb08a01bc137/MEU CONTROLE - DANIEL TAVARES/SAFRA 2026-2027/FATURAMENTO/FATURAMENTO EXPORTAÇÃO/"/>
    </mc:Choice>
  </mc:AlternateContent>
  <xr:revisionPtr revIDLastSave="174" documentId="8_{D904DBFA-D3C5-413A-B281-856E7FB473C5}" xr6:coauthVersionLast="47" xr6:coauthVersionMax="47" xr10:uidLastSave="{716D2B91-3EEF-471D-89B3-00CFBC73E9DA}"/>
  <bookViews>
    <workbookView xWindow="-120" yWindow="-120" windowWidth="24240" windowHeight="13020" xr2:uid="{608FB5D5-C153-4692-AEFB-E4DE6BB0852C}"/>
  </bookViews>
  <sheets>
    <sheet name="RELATÓRIO" sheetId="6" r:id="rId1"/>
    <sheet name="EMISSÃO" sheetId="1" r:id="rId2"/>
    <sheet name="CONTROLE" sheetId="2" r:id="rId3"/>
    <sheet name="REFERÊNCIA" sheetId="3" r:id="rId4"/>
    <sheet name="REFCALC" sheetId="4" state="hidden" r:id="rId5"/>
  </sheets>
  <definedNames>
    <definedName name="_xlnm.Print_Area" localSheetId="0">RELATÓRIO!$B$5:$I$67</definedName>
    <definedName name="NF_SELECIONADA">RELATÓRIO!$C$2</definedName>
    <definedName name="SPS_DISPONIVEIS">_xlfn.ANCHORARRAY(REFCALC!$C$4)</definedName>
    <definedName name="_xlnm.Print_Titles" localSheetId="0">RELATÓRIO!$5:$12</definedName>
    <definedName name="TPS_DISPONIVEIS">_xlfn.ANCHORARRAY(REFCALC!$B$4)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8" i="2" l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13" i="2"/>
  <c r="B14" i="2" s="1"/>
  <c r="B15" i="2" s="1"/>
  <c r="B16" i="2" s="1"/>
  <c r="B17" i="2" s="1"/>
  <c r="F48" i="6" l="1"/>
  <c r="F49" i="6"/>
  <c r="B48" i="6"/>
  <c r="C42" i="6" a="1"/>
  <c r="C42" i="6" s="1"/>
  <c r="B42" i="6" s="1"/>
  <c r="D36" i="6" a="1"/>
  <c r="D36" i="6" s="1"/>
  <c r="C36" i="6" a="1"/>
  <c r="C36" i="6" s="1"/>
  <c r="B36" i="6" a="1"/>
  <c r="B36" i="6" s="1"/>
  <c r="E29" i="6"/>
  <c r="E30" i="6"/>
  <c r="E31" i="6"/>
  <c r="C11" i="3"/>
  <c r="C8" i="3"/>
  <c r="C9" i="3"/>
  <c r="C10" i="3" s="1"/>
  <c r="C7" i="3"/>
  <c r="F24" i="6" a="1"/>
  <c r="F24" i="6" s="1"/>
  <c r="E24" i="6" s="1"/>
  <c r="C24" i="6" a="1"/>
  <c r="C24" i="6" s="1"/>
  <c r="D24" i="6" s="1"/>
  <c r="B24" i="6" a="1"/>
  <c r="B24" i="6" s="1"/>
  <c r="K8" i="1"/>
  <c r="K9" i="1"/>
  <c r="K10" i="1"/>
  <c r="K7" i="1"/>
  <c r="H58" i="6"/>
  <c r="B7" i="1"/>
  <c r="E7" i="1"/>
  <c r="F7" i="1" s="1"/>
  <c r="B8" i="1"/>
  <c r="E8" i="1"/>
  <c r="E9" i="1"/>
  <c r="E10" i="1"/>
  <c r="F8" i="1" l="1"/>
  <c r="F42" i="6"/>
  <c r="E49" i="6" a="1"/>
  <c r="E49" i="6" s="1"/>
  <c r="E42" i="6" a="1"/>
  <c r="E42" i="6" s="1"/>
  <c r="B47" i="6"/>
  <c r="E48" i="6" a="1"/>
  <c r="E48" i="6" s="1"/>
  <c r="B46" i="6"/>
  <c r="E47" i="6" a="1"/>
  <c r="E47" i="6" s="1"/>
  <c r="F47" i="6"/>
  <c r="B45" i="6"/>
  <c r="E46" i="6" a="1"/>
  <c r="E46" i="6" s="1"/>
  <c r="F46" i="6"/>
  <c r="B44" i="6"/>
  <c r="E45" i="6" a="1"/>
  <c r="E45" i="6" s="1"/>
  <c r="F45" i="6"/>
  <c r="B43" i="6"/>
  <c r="E44" i="6" a="1"/>
  <c r="E44" i="6" s="1"/>
  <c r="F44" i="6"/>
  <c r="D26" i="6"/>
  <c r="E43" i="6" a="1"/>
  <c r="E43" i="6" s="1"/>
  <c r="F43" i="6"/>
  <c r="E28" i="6"/>
  <c r="E27" i="6"/>
  <c r="E26" i="6"/>
  <c r="E25" i="6"/>
  <c r="D28" i="6"/>
  <c r="D27" i="6"/>
  <c r="D25" i="6"/>
  <c r="B4" i="4" a="1"/>
  <c r="B4" i="4" s="1"/>
  <c r="B9" i="1"/>
  <c r="K7" i="3"/>
  <c r="K8" i="3" s="1"/>
  <c r="K9" i="3" s="1"/>
  <c r="K10" i="3" s="1"/>
  <c r="K11" i="3" s="1"/>
  <c r="K12" i="3" s="1"/>
  <c r="K13" i="3" s="1"/>
  <c r="K14" i="3" s="1"/>
  <c r="K15" i="3" s="1"/>
  <c r="B7" i="2"/>
  <c r="B8" i="2" s="1"/>
  <c r="B9" i="2" s="1"/>
  <c r="B10" i="2" s="1"/>
  <c r="B11" i="2" s="1"/>
  <c r="B12" i="2" s="1"/>
  <c r="H7" i="1"/>
  <c r="H8" i="1" s="1"/>
  <c r="L8" i="1" s="1"/>
  <c r="K6" i="1"/>
  <c r="L6" i="1" s="1"/>
  <c r="E6" i="1"/>
  <c r="F6" i="1" s="1"/>
  <c r="F9" i="1" l="1"/>
  <c r="B10" i="1"/>
  <c r="F10" i="1" s="1"/>
  <c r="L7" i="1"/>
  <c r="C4" i="4" s="1" a="1"/>
  <c r="C4" i="4" s="1"/>
  <c r="H9" i="1"/>
  <c r="L9" i="1" s="1"/>
  <c r="H10" i="1" l="1"/>
  <c r="L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<sst xmlns="http://schemas.openxmlformats.org/spreadsheetml/2006/main" count="188" uniqueCount="108">
  <si>
    <t>DATA</t>
  </si>
  <si>
    <t>ID</t>
  </si>
  <si>
    <t>SEMANA</t>
  </si>
  <si>
    <t>TIPO</t>
  </si>
  <si>
    <t>RASTREABILIDADE</t>
  </si>
  <si>
    <t>TP</t>
  </si>
  <si>
    <t>SP</t>
  </si>
  <si>
    <t>NF</t>
  </si>
  <si>
    <t>CONTROLE DE RASTREABILIDADE DE EMBALAGEM DE TRANSPORTE</t>
  </si>
  <si>
    <t>CONTROLE DE RASTREABILIDADE DE EMBALAGEM DE VENDA</t>
  </si>
  <si>
    <t>EMBALAGEM</t>
  </si>
  <si>
    <t>FORNECEDOR</t>
  </si>
  <si>
    <t>CADASTRO DE EMBALAGENS</t>
  </si>
  <si>
    <t>CADASTRO DE FORNECEDORES</t>
  </si>
  <si>
    <t>CNPJ</t>
  </si>
  <si>
    <t>ENDEREÇO</t>
  </si>
  <si>
    <t>DoC</t>
  </si>
  <si>
    <t>Ficha Técnica</t>
  </si>
  <si>
    <t>Laudos</t>
  </si>
  <si>
    <t>PALLET 0,99 x 1,16</t>
  </si>
  <si>
    <t>PALLET 0,99 x 1,19</t>
  </si>
  <si>
    <t>CARTON BOX 10 KG</t>
  </si>
  <si>
    <t>CARTON BOX 13 KG</t>
  </si>
  <si>
    <t>CARTON BOX 16 KG</t>
  </si>
  <si>
    <t>CARTON BOX 18 KG</t>
  </si>
  <si>
    <t>STRAPPING MATERIAL</t>
  </si>
  <si>
    <t>CORNERBOARD</t>
  </si>
  <si>
    <t>FORPALLET INDUSTRIA E COMERCIO DE PALLETS LTDA</t>
  </si>
  <si>
    <t>KLABIN S.A.</t>
  </si>
  <si>
    <t>FPACK EMBALAGENS INDUSTRIAIS LTDA</t>
  </si>
  <si>
    <t>TUBOTECNICO INDUSTRIA E COMERCIO DE EMBALAGENS LTDA ME</t>
  </si>
  <si>
    <t>ETICK INDUSTRIA DE ETIQUETAS LTDA</t>
  </si>
  <si>
    <t>LABELS</t>
  </si>
  <si>
    <t>STICKERS</t>
  </si>
  <si>
    <t>CONTROLE DE SAÍDA DAS EMBALAGENS</t>
  </si>
  <si>
    <t>TPS DISPONIVEIS</t>
  </si>
  <si>
    <t>SPS DISPONIVEIS</t>
  </si>
  <si>
    <t>PACKAGING TRACEABILITY &amp; PPWR REPORT</t>
  </si>
  <si>
    <t>SHIPMENT IDENTIFICATION</t>
  </si>
  <si>
    <t>INVOICE</t>
  </si>
  <si>
    <t>Invoice</t>
  </si>
  <si>
    <t>Importer / Customer</t>
  </si>
  <si>
    <t>Vessel / Voyage</t>
  </si>
  <si>
    <t>Container No.</t>
  </si>
  <si>
    <t>Shipment Date</t>
  </si>
  <si>
    <t>Commodity</t>
  </si>
  <si>
    <t>Exporter</t>
  </si>
  <si>
    <t>Booking</t>
  </si>
  <si>
    <t>Seal No.</t>
  </si>
  <si>
    <t>Week</t>
  </si>
  <si>
    <t>Pallets</t>
  </si>
  <si>
    <t>Traceability ID</t>
  </si>
  <si>
    <t>Packaging Material Reference</t>
  </si>
  <si>
    <t>Packaging Type</t>
  </si>
  <si>
    <t>Packing List</t>
  </si>
  <si>
    <t>Variety</t>
  </si>
  <si>
    <t>Quantity</t>
  </si>
  <si>
    <t>Supplier ID</t>
  </si>
  <si>
    <t>SUPPLIER LEGEND — THIS SHIPMENT</t>
  </si>
  <si>
    <t>Supplier Name</t>
  </si>
  <si>
    <t>Packaging Material</t>
  </si>
  <si>
    <t>SALES PACKAGE TRACEABILITY</t>
  </si>
  <si>
    <t>Sales packaging consists of the label applied directly to the fruit. For this shipment, this is the only sales-package material recorded.</t>
  </si>
  <si>
    <t>Sales Package Material</t>
  </si>
  <si>
    <t>Supplier / Manufacturer</t>
  </si>
  <si>
    <t>Code</t>
  </si>
  <si>
    <t>Meaning</t>
  </si>
  <si>
    <t>Description</t>
  </si>
  <si>
    <t>Transport Package Traceability</t>
  </si>
  <si>
    <t>Identifies the transport packaging group for the shipment.</t>
  </si>
  <si>
    <t>Sales Package Traceability</t>
  </si>
  <si>
    <t>Identifies the sales packaging applied directly to the fruit.</t>
  </si>
  <si>
    <t>POTIGUAR FRUIT IMPORTAÇÃO E EXPORTAÇÃO LTDA</t>
  </si>
  <si>
    <t>CNPJ: 03.572.213/0001-86, GGN: xxxxxxxxxxxxx</t>
  </si>
  <si>
    <t>Fazenda São José, S/N, RN 406, Km 16, Zona Rural,59.510-000, Afonso Bezerra/RN,  Brazil</t>
  </si>
  <si>
    <t>Phone: +55 (84) 98157-6599, contato@potiguarfruit.com</t>
  </si>
  <si>
    <t>Document:</t>
  </si>
  <si>
    <t>Version:</t>
  </si>
  <si>
    <t>PTR-20260813</t>
  </si>
  <si>
    <t>The following records identify the packaging materials associated with the transport package traceability ID for this shipment.</t>
  </si>
  <si>
    <t>VENDA</t>
  </si>
  <si>
    <t>TRANSPORTE</t>
  </si>
  <si>
    <t>TP-2026330001</t>
  </si>
  <si>
    <t>SP-2026330001</t>
  </si>
  <si>
    <t>TP-2026340002</t>
  </si>
  <si>
    <t>SP-2026340002</t>
  </si>
  <si>
    <t>TRANSPORT PACKAGE</t>
  </si>
  <si>
    <t>SALES PACKAGE</t>
  </si>
  <si>
    <t>Manufacturer Address</t>
  </si>
  <si>
    <t>47.880.572/0001-76</t>
  </si>
  <si>
    <t>Rua Raimundo Gurgel da Nobrega, 359, Dix-Sept Rosado,59.609-003, Mossoró/RN - Brazil</t>
  </si>
  <si>
    <t>89.637.490/0168-15</t>
  </si>
  <si>
    <t>Av. Presidente Castelo Branco, 1145, 62.881-315, Catu, Horizonte/CE - Brazil</t>
  </si>
  <si>
    <t>26.190.530/0001-33</t>
  </si>
  <si>
    <t>Rua Projetada C, 10, 58.475-000, Distrito Industrial do Ligeiro, Queimadas/PB - Brazil</t>
  </si>
  <si>
    <t>03.466.523/0001-16</t>
  </si>
  <si>
    <t>Rua Fco. Domingos de Sousa, 41, Catolé, Horizonte/CE - Brazil</t>
  </si>
  <si>
    <t>05.887.771/0001-66</t>
  </si>
  <si>
    <t>Rua Padre Paulino, 480, 60.864-240, Cajazeiras, Fortaleza/CE - Brazil</t>
  </si>
  <si>
    <t>TP-2026350003</t>
  </si>
  <si>
    <t>SP-2026350003</t>
  </si>
  <si>
    <t>TRACEABILITY CODE KEY (CODE BREAKDOWN)</t>
  </si>
  <si>
    <t>[TP|SP]-[YYYY][WW][NNNN]</t>
  </si>
  <si>
    <t>-</t>
  </si>
  <si>
    <t>TP or SP[Prefix]-[YYYY] Production Year [WW] Week [NNNN] Sequential ID of the package group set</t>
  </si>
  <si>
    <t>TRANSPORT PACKAGE TRACEABILITY (Packaging group set)</t>
  </si>
  <si>
    <t>Daniel Tavares dos Santos</t>
  </si>
  <si>
    <t>Export and Compliance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</si>
</sst>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8"/>
      <color rgb="FF17365D"/>
      <name val="Calibri"/>
      <family val="2"/>
    </font>
    <font>
      <b/>
      <sz val="11"/>
      <color rgb="FF1F1F1F"/>
      <name val="Calibri"/>
      <family val="2"/>
    </font>
    <font>
      <sz val="11"/>
      <color rgb="FF1F1F1F"/>
      <name val="Calibri"/>
      <family val="2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17365D"/>
      </patternFill>
    </fill>
    <fill>
      <patternFill patternType="solid">
        <fgColor rgb="FFD9E1F2"/>
      </patternFill>
    </fill>
  </fills>
  <borders count="7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</cellStyleXfs>
  <cellXfs count="25">
    <xf numFmtId="0" fontId="0" fillId="0" borderId="0" xfId="0"/>
    <xf numFmtId="14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vertical="center" wrapText="1"/>
    </xf>
    <xf numFmtId="0" fontId="10" fillId="0" borderId="2" xfId="0" applyFont="1" applyBorder="1" applyAlignment="1">
      <alignment horizontal="left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" xfId="1"/>
    <xf numFmtId="0" fontId="1" fillId="3" borderId="1" xfId="3" applyBorder="1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7" fillId="4" borderId="0" xfId="0" applyFont="1" applyFill="1" applyAlignment="1">
      <alignment horizontal="left" vertical="center"/>
    </xf>
    <xf numFmtId="0" fontId="9" fillId="5" borderId="2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5" fillId="2" borderId="0" xfId="2" applyFont="1" applyAlignment="1">
      <alignment horizontal="center"/>
    </xf>
    <xf numFmtId="0" fontId="3" fillId="2" borderId="0" xfId="2" applyFont="1" applyAlignment="1">
      <alignment horizontal="center"/>
    </xf>
    <xf numFmtId="0" fontId="9" fillId="5" borderId="5" xfId="0" applyFont="1" applyFill="1" applyBorder="1" applyAlignment="1">
      <alignment horizontal="center" vertical="center" wrapText="1"/>
    </xf>
    <xf numFmtId="165" fontId="0" fillId="0" borderId="0" xfId="0" quotePrefix="1" applyNumberFormat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6" xfId="0" applyFont="1" applyBorder="1"/>
  </cellXfs>
  <cellStyles count="4">
    <cellStyle name="20% - Ênfase1" xfId="3" builtinId="30"/>
    <cellStyle name="Ênfase1" xfId="2" builtinId="29"/>
    <cellStyle name="Normal" xfId="0" builtinId="0"/>
    <cellStyle name="Título 3" xfId="1" builtinId="18"/>
  </cellStyles>
  <dxfs count="18">
    <dxf>
      <font>
        <b/>
        <i val="0"/>
      </font>
      <fill>
        <patternFill>
          <bgColor theme="3" tint="0.89996032593768116"/>
        </patternFill>
      </fill>
    </dxf>
    <dxf>
      <font>
        <b/>
        <i val="0"/>
        <color theme="0"/>
      </font>
      <fill>
        <patternFill>
          <bgColor rgb="FF17365D"/>
        </patternFill>
      </fill>
    </dxf>
    <dxf>
      <font>
        <b/>
        <i val="0"/>
      </font>
      <fill>
        <patternFill>
          <bgColor theme="3" tint="0.89996032593768116"/>
        </patternFill>
      </fill>
    </dxf>
    <dxf>
      <font>
        <b/>
        <i val="0"/>
        <color theme="0"/>
      </font>
      <fill>
        <patternFill>
          <bgColor rgb="FF17365D"/>
        </patternFill>
      </fill>
    </dxf>
    <dxf>
      <font>
        <b/>
        <i val="0"/>
      </font>
      <fill>
        <patternFill>
          <bgColor theme="3" tint="0.89996032593768116"/>
        </patternFill>
      </fill>
    </dxf>
    <dxf>
      <font>
        <b/>
        <i val="0"/>
        <color theme="0"/>
      </font>
      <fill>
        <patternFill>
          <bgColor rgb="FF17365D"/>
        </patternFill>
      </fill>
    </dxf>
    <dxf>
      <font>
        <b/>
        <i val="0"/>
      </font>
      <fill>
        <patternFill>
          <bgColor theme="3" tint="0.89996032593768116"/>
        </patternFill>
      </fill>
    </dxf>
    <dxf>
      <font>
        <b/>
        <i val="0"/>
        <color theme="0"/>
      </font>
      <fill>
        <patternFill>
          <bgColor rgb="FF17365D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3" tint="0.89996032593768116"/>
        </patternFill>
      </fill>
    </dxf>
    <dxf>
      <font>
        <b/>
        <i val="0"/>
      </font>
      <fill>
        <patternFill>
          <bgColor theme="3" tint="0.89996032593768116"/>
        </patternFill>
      </fill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1736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59</xdr:row>
      <xdr:rowOff>0</xdr:rowOff>
    </xdr:from>
    <xdr:to>
      <xdr:col>2</xdr:col>
      <xdr:colOff>280274</xdr:colOff>
      <xdr:row>62</xdr:row>
      <xdr:rowOff>138304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3F180D7-C8A5-ACA0-350A-101950D34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2096750"/>
          <a:ext cx="2006540" cy="709804"/>
        </a:xfrm>
        <a:prstGeom prst="rect">
          <a:avLst/>
        </a:prstGeom>
      </xdr:spPr>
    </xdr:pic>
    <xdr:clientData/>
  </xdr:twoCellAnchor>
  <xdr:twoCellAnchor editAs="oneCell">
    <xdr:from>
      <xdr:col>1</xdr:col>
      <xdr:colOff>224118</xdr:colOff>
      <xdr:row>4</xdr:row>
      <xdr:rowOff>0</xdr:rowOff>
    </xdr:from>
    <xdr:to>
      <xdr:col>1</xdr:col>
      <xdr:colOff>1507457</xdr:colOff>
      <xdr:row>8</xdr:row>
      <xdr:rowOff>11206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BD8D7A5-2F97-9397-B1DE-7D2D8B3D9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236" y="773206"/>
          <a:ext cx="1283339" cy="773206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9A2A19-482A-48C5-A825-2C982EE3D56F}" name="EMISSAOTP" displayName="EMISSAOTP" ref="B5:F10" totalsRowShown="0">
  <autoFilter ref="B5:F10" xr:uid="{649A2A19-482A-48C5-A825-2C982EE3D56F}"/>
  <tableColumns count="5">
    <tableColumn id="1" xr3:uid="{FA7D4B13-7BE6-4EE3-8BA1-194D7EEAD390}" name="ID"/>
    <tableColumn id="6" xr3:uid="{5B9C807F-C432-4625-833B-543A4C1E4773}" name="NF"/>
    <tableColumn id="2" xr3:uid="{A31458B5-5D1C-4056-A591-54D7E4055BBB}" name="DATA"/>
    <tableColumn id="3" xr3:uid="{585EC642-C4C5-4B39-B0A5-6E2889D46AD4}" name="SEMANA" dataDxfId="17">
      <calculatedColumnFormula>IF(EMISSAOTP[[#This Row],[DATA]]="","",WEEKNUM(EMISSAOTP[[#This Row],[DATA]]))</calculatedColumnFormula>
    </tableColumn>
    <tableColumn id="5" xr3:uid="{6AEA950D-C942-42C1-96A7-D1A7D28B556E}" name="RASTREABILIDADE" dataDxfId="16">
      <calculatedColumnFormula>_xlfn.LET(
_xlpm.ANO,YEAR(EMISSAOTP[[#This Row],[DATA]]),
_xlpm.SEM,EMISSAOTP[[#This Row],[SEMANA]],
_xlpm.PREF,"TP",
_xlpm.SEQ,TEXT(EMISSAOTP[[#This Row],[ID]],"0000"),
IF(OR(EMISSAOTP[[#This Row],[ID]]="",EMISSAOTP[[#This Row],[DATA]]="",EMISSAOTP[[#This Row],[SEMANA]]=""),"",_xlfn.CONCAT(_xlpm.PREF,"-",_xlpm.ANO,_xlpm.SEM,_xlpm.SEQ))
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FC354E-5919-4DB8-A4AB-E89DA9A18490}" name="EMISSAOSP" displayName="EMISSAOSP" ref="H5:L10" totalsRowShown="0">
  <autoFilter ref="H5:L10" xr:uid="{E3FC354E-5919-4DB8-A4AB-E89DA9A18490}"/>
  <tableColumns count="5">
    <tableColumn id="1" xr3:uid="{2BF10279-F0D1-49C7-9614-D295430C647B}" name="ID"/>
    <tableColumn id="6" xr3:uid="{7E364FB2-4748-427E-AD42-076004878B3C}" name="NF"/>
    <tableColumn id="2" xr3:uid="{9EB15FFA-BB56-4741-A0E2-53A2AB4C2009}" name="DATA"/>
    <tableColumn id="3" xr3:uid="{E585451B-FEB1-4C87-BF4F-99EC0FBA12B3}" name="SEMANA" dataDxfId="15">
      <calculatedColumnFormula>IF(EMISSAOSP[[#This Row],[DATA]]="","",WEEKNUM(EMISSAOSP[[#This Row],[DATA]]))</calculatedColumnFormula>
    </tableColumn>
    <tableColumn id="5" xr3:uid="{4371E00A-0A9D-4C19-AE2E-77E95C449343}" name="RASTREABILIDADE" dataDxfId="14">
      <calculatedColumnFormula>_xlfn.LET(
_xlpm.ANO,YEAR(EMISSAOSP[[#This Row],[DATA]]),
_xlpm.SEM,EMISSAOSP[[#This Row],[SEMANA]],
_xlpm.PREF,"SP",
_xlpm.SEQ,TEXT(EMISSAOSP[[#This Row],[ID]],"0000"),
IF(OR(EMISSAOSP[[#This Row],[ID]]="",EMISSAOSP[[#This Row],[DATA]]="",EMISSAOSP[[#This Row],[SEMANA]]=""),"",_xlfn.CONCAT(_xlpm.PREF,"-",_xlpm.ANO,_xlpm.SEM,_xlpm.SEQ))
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83CD3A-6269-4C46-9D85-1AF6E30A3DFF}" name="SAIDAS" displayName="SAIDAS" ref="B5:F32" totalsRowShown="0">
  <autoFilter ref="B5:F32" xr:uid="{4A83CD3A-6269-4C46-9D85-1AF6E30A3DFF}"/>
  <tableColumns count="5">
    <tableColumn id="1" xr3:uid="{F1F4A464-AEE4-4252-BF47-F102A6B74AEB}" name="ID"/>
    <tableColumn id="2" xr3:uid="{B197A19B-C0B5-47B2-B697-FE9ED6C1AD40}" name="TRANSPORTE"/>
    <tableColumn id="3" xr3:uid="{936EF7AB-4544-4BE7-BD22-0E7151F7179A}" name="VENDA"/>
    <tableColumn id="4" xr3:uid="{EF7AA795-1131-4F98-9469-79D0BE0F72A5}" name="EMBALAGEM"/>
    <tableColumn id="5" xr3:uid="{77317DC2-4304-4701-BCE0-D97FFAD94251}" name="FORNECED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5D9F72-D214-426C-B29E-E9FB55AAF94F}" name="FORNECEDORES" displayName="FORNECEDORES" ref="C5:I11" totalsRowShown="0">
  <autoFilter ref="C5:I11" xr:uid="{295D9F72-D214-426C-B29E-E9FB55AAF94F}"/>
  <tableColumns count="7">
    <tableColumn id="1" xr3:uid="{CE06FB81-B4DD-4310-88AC-F684E76797B9}" name="ID"/>
    <tableColumn id="7" xr3:uid="{7E468D53-2A8D-49D4-991E-8B5D6281ACCF}" name="FORNECEDOR"/>
    <tableColumn id="2" xr3:uid="{447AE631-B0A4-4702-8FEC-6E2953E7C852}" name="CNPJ"/>
    <tableColumn id="3" xr3:uid="{2CA25D99-6388-4A88-B9F8-BA5DA58A76B5}" name="ENDEREÇO"/>
    <tableColumn id="4" xr3:uid="{E23129C9-7660-42D9-A718-8231164F77D3}" name="DoC" dataDxfId="13"/>
    <tableColumn id="5" xr3:uid="{8529DF02-BE71-40C7-B802-2635880D908D}" name="Ficha Técnica" dataDxfId="12"/>
    <tableColumn id="6" xr3:uid="{03F938CB-87B4-427A-8A4C-537679B71C65}" name="Laudos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DFB356-6BAC-4FB5-9DE7-61401697AA59}" name="EMBALAGENS" displayName="EMBALAGENS" ref="K5:N15" totalsRowShown="0">
  <autoFilter ref="K5:N15" xr:uid="{14DFB356-6BAC-4FB5-9DE7-61401697AA59}"/>
  <tableColumns count="4">
    <tableColumn id="9" xr3:uid="{BA5AE2DA-0981-43B1-AE11-E0310F9AA861}" name="ID"/>
    <tableColumn id="1" xr3:uid="{E057844B-7278-4975-8C12-E1938F24D81F}" name="EMBALAGEM"/>
    <tableColumn id="8" xr3:uid="{704F66E7-171E-415B-8F60-2F41B9222E70}" name="TIPO"/>
    <tableColumn id="7" xr3:uid="{4197B7B2-8F5C-4F35-B6D1-2CE2B0E598E7}" name="FORNECE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4ADF5-6F77-4042-AB7B-04C277171120}">
  <sheetPr>
    <pageSetUpPr fitToPage="1"/>
  </sheetPr>
  <dimension ref="B2:I64"/>
  <sheetViews>
    <sheetView showGridLines="0" tabSelected="1" zoomScale="85" zoomScaleNormal="85" workbookViewId="0">
      <selection activeCell="F7" sqref="F7"/>
    </sheetView>
  </sheetViews>
  <sheetFormatPr defaultRowHeight="15" x14ac:dyDescent="0.25"/>
  <cols>
    <col min="2" max="2" width="26.42578125" customWidth="1"/>
    <col min="3" max="3" width="34.5703125" customWidth="1"/>
    <col min="4" max="4" width="26.28515625" customWidth="1"/>
    <col min="5" max="5" width="26.42578125" customWidth="1"/>
    <col min="6" max="6" width="18.28515625" customWidth="1"/>
    <col min="7" max="7" width="19.140625" customWidth="1"/>
    <col min="8" max="8" width="22" customWidth="1"/>
    <col min="9" max="9" width="28.140625" customWidth="1"/>
  </cols>
  <sheetData>
    <row r="2" spans="2:9" ht="15.75" thickBot="1" x14ac:dyDescent="0.3">
      <c r="B2" s="7" t="s">
        <v>39</v>
      </c>
      <c r="C2" s="8">
        <v>27</v>
      </c>
    </row>
    <row r="5" spans="2:9" ht="15" customHeight="1" x14ac:dyDescent="0.25">
      <c r="B5" s="11"/>
      <c r="C5" s="10" t="s">
        <v>72</v>
      </c>
      <c r="D5" s="10"/>
      <c r="E5" s="10"/>
      <c r="F5" s="10"/>
      <c r="G5" s="10"/>
      <c r="H5" s="3" t="s">
        <v>76</v>
      </c>
      <c r="I5" s="3" t="s">
        <v>78</v>
      </c>
    </row>
    <row r="6" spans="2:9" ht="15" customHeight="1" x14ac:dyDescent="0.25">
      <c r="B6" s="11"/>
      <c r="C6" s="3" t="s">
        <v>73</v>
      </c>
      <c r="D6" s="3"/>
      <c r="E6" s="3"/>
      <c r="F6" s="3"/>
      <c r="G6" s="3"/>
      <c r="H6" s="3" t="s">
        <v>77</v>
      </c>
      <c r="I6" s="22">
        <v>1</v>
      </c>
    </row>
    <row r="7" spans="2:9" ht="15" customHeight="1" x14ac:dyDescent="0.25">
      <c r="B7" s="11"/>
      <c r="C7" s="3" t="s">
        <v>74</v>
      </c>
      <c r="D7" s="3"/>
      <c r="E7" s="3"/>
      <c r="F7" s="3"/>
      <c r="G7" s="3"/>
      <c r="H7" s="3"/>
      <c r="I7" s="3"/>
    </row>
    <row r="8" spans="2:9" x14ac:dyDescent="0.25">
      <c r="B8" s="11"/>
      <c r="C8" s="6" t="s">
        <v>75</v>
      </c>
      <c r="D8" s="3"/>
      <c r="E8" s="3"/>
      <c r="F8" s="3"/>
      <c r="G8" s="3"/>
      <c r="H8" s="3"/>
      <c r="I8" s="3"/>
    </row>
    <row r="9" spans="2:9" x14ac:dyDescent="0.25">
      <c r="B9" s="6"/>
      <c r="C9" s="3"/>
      <c r="D9" s="3"/>
      <c r="E9" s="3"/>
      <c r="F9" s="3"/>
      <c r="G9" s="3"/>
      <c r="H9" s="3"/>
      <c r="I9" s="3"/>
    </row>
    <row r="10" spans="2:9" s="6" customFormat="1" ht="27.95" customHeight="1" x14ac:dyDescent="0.25">
      <c r="B10" s="18" t="s">
        <v>37</v>
      </c>
      <c r="C10" s="15"/>
      <c r="D10" s="15"/>
      <c r="E10" s="15"/>
      <c r="F10" s="15"/>
      <c r="G10" s="15"/>
      <c r="H10" s="15"/>
      <c r="I10" s="15"/>
    </row>
    <row r="11" spans="2:9" s="6" customFormat="1" x14ac:dyDescent="0.25">
      <c r="B11" s="3"/>
      <c r="C11" s="3"/>
      <c r="D11" s="3"/>
      <c r="E11" s="3"/>
      <c r="F11" s="3"/>
      <c r="G11" s="3"/>
      <c r="H11" s="3"/>
      <c r="I11" s="3"/>
    </row>
    <row r="12" spans="2:9" s="6" customFormat="1" ht="18.75" customHeight="1" x14ac:dyDescent="0.25">
      <c r="B12" s="16" t="s">
        <v>38</v>
      </c>
      <c r="C12" s="15"/>
      <c r="D12" s="15"/>
      <c r="E12" s="15"/>
      <c r="F12" s="15"/>
      <c r="G12" s="15"/>
      <c r="H12" s="15"/>
      <c r="I12" s="15"/>
    </row>
    <row r="13" spans="2:9" s="6" customFormat="1" ht="18.75" customHeight="1" x14ac:dyDescent="0.25">
      <c r="B13" s="4" t="s">
        <v>40</v>
      </c>
      <c r="C13" s="14"/>
      <c r="D13" s="14"/>
      <c r="E13" s="14"/>
      <c r="F13" s="4" t="s">
        <v>54</v>
      </c>
      <c r="G13" s="14"/>
      <c r="H13" s="14"/>
      <c r="I13" s="14"/>
    </row>
    <row r="14" spans="2:9" s="6" customFormat="1" ht="18.75" customHeight="1" x14ac:dyDescent="0.25">
      <c r="B14" s="4" t="s">
        <v>41</v>
      </c>
      <c r="C14" s="14"/>
      <c r="D14" s="14"/>
      <c r="E14" s="14"/>
      <c r="F14" s="4" t="s">
        <v>46</v>
      </c>
      <c r="G14" s="14"/>
      <c r="H14" s="14"/>
      <c r="I14" s="14"/>
    </row>
    <row r="15" spans="2:9" s="6" customFormat="1" ht="18.75" customHeight="1" x14ac:dyDescent="0.25">
      <c r="B15" s="4" t="s">
        <v>42</v>
      </c>
      <c r="C15" s="14"/>
      <c r="D15" s="14"/>
      <c r="E15" s="14"/>
      <c r="F15" s="4" t="s">
        <v>47</v>
      </c>
      <c r="G15" s="14"/>
      <c r="H15" s="14"/>
      <c r="I15" s="14"/>
    </row>
    <row r="16" spans="2:9" s="6" customFormat="1" ht="18.75" customHeight="1" x14ac:dyDescent="0.25">
      <c r="B16" s="4" t="s">
        <v>43</v>
      </c>
      <c r="C16" s="14"/>
      <c r="D16" s="14"/>
      <c r="E16" s="14"/>
      <c r="F16" s="4" t="s">
        <v>48</v>
      </c>
      <c r="G16" s="14"/>
      <c r="H16" s="14"/>
      <c r="I16" s="14"/>
    </row>
    <row r="17" spans="2:9" s="6" customFormat="1" ht="18.75" customHeight="1" x14ac:dyDescent="0.25">
      <c r="B17" s="4" t="s">
        <v>44</v>
      </c>
      <c r="C17" s="14"/>
      <c r="D17" s="14"/>
      <c r="E17" s="14"/>
      <c r="F17" s="4" t="s">
        <v>49</v>
      </c>
      <c r="G17" s="14"/>
      <c r="H17" s="14"/>
      <c r="I17" s="14"/>
    </row>
    <row r="18" spans="2:9" s="6" customFormat="1" ht="18.75" customHeight="1" x14ac:dyDescent="0.25">
      <c r="B18" s="4" t="s">
        <v>45</v>
      </c>
      <c r="C18" s="14"/>
      <c r="D18" s="14"/>
      <c r="E18" s="14"/>
      <c r="F18" s="4" t="s">
        <v>55</v>
      </c>
      <c r="G18" s="14"/>
      <c r="H18" s="14"/>
      <c r="I18" s="14"/>
    </row>
    <row r="19" spans="2:9" s="6" customFormat="1" ht="18.75" customHeight="1" x14ac:dyDescent="0.25">
      <c r="B19" s="4" t="s">
        <v>56</v>
      </c>
      <c r="C19" s="14"/>
      <c r="D19" s="14"/>
      <c r="E19" s="14"/>
      <c r="F19" s="4" t="s">
        <v>50</v>
      </c>
      <c r="G19" s="14"/>
      <c r="H19" s="14"/>
      <c r="I19" s="14"/>
    </row>
    <row r="20" spans="2:9" s="6" customFormat="1" x14ac:dyDescent="0.25">
      <c r="B20" s="3"/>
      <c r="C20" s="3"/>
      <c r="D20" s="3"/>
      <c r="E20" s="3"/>
      <c r="F20" s="3"/>
      <c r="G20" s="3"/>
      <c r="H20" s="3"/>
      <c r="I20" s="3"/>
    </row>
    <row r="21" spans="2:9" s="6" customFormat="1" ht="21.95" customHeight="1" x14ac:dyDescent="0.25">
      <c r="B21" s="16" t="s">
        <v>105</v>
      </c>
      <c r="C21" s="15"/>
      <c r="D21" s="15"/>
      <c r="E21" s="15"/>
      <c r="F21" s="15"/>
      <c r="G21" s="15"/>
      <c r="H21" s="15"/>
      <c r="I21" s="15"/>
    </row>
    <row r="22" spans="2:9" s="6" customFormat="1" ht="23.25" customHeight="1" x14ac:dyDescent="0.25">
      <c r="B22" s="15" t="s">
        <v>79</v>
      </c>
      <c r="C22" s="15"/>
      <c r="D22" s="15"/>
      <c r="E22" s="15"/>
      <c r="F22" s="15"/>
      <c r="G22" s="15"/>
      <c r="H22" s="15"/>
      <c r="I22" s="15"/>
    </row>
    <row r="23" spans="2:9" s="6" customFormat="1" ht="19.5" customHeight="1" x14ac:dyDescent="0.25">
      <c r="B23" s="5" t="s">
        <v>51</v>
      </c>
      <c r="C23" s="5" t="s">
        <v>52</v>
      </c>
      <c r="D23" s="5" t="s">
        <v>53</v>
      </c>
      <c r="E23" s="5" t="s">
        <v>57</v>
      </c>
      <c r="F23" s="12" t="s">
        <v>59</v>
      </c>
      <c r="G23" s="21"/>
      <c r="H23" s="13"/>
    </row>
    <row r="24" spans="2:9" s="6" customFormat="1" ht="20.100000000000001" customHeight="1" x14ac:dyDescent="0.25">
      <c r="B24" s="9" t="str" cm="1">
        <f t="array" ref="B24:B28">_xlfn.LET(
_xlpm.RASTP,_xlfn.XLOOKUP(NF_SELECIONADA,EMISSAOTP[NF],EMISSAOTP[RASTREABILIDADE]),
_xlpm.RASSP,_xlfn.XLOOKUP(NF_SELECIONADA,EMISSAOSP[NF],EMISSAOSP[RASTREABILIDADE]),
_xlpm.PRODSTP,_xlfn._xlws.FILTER(SAIDAS[TRANSPORTE],(SAIDAS[TRANSPORTE]=_xlpm.RASTP),""),
_xlpm.PRODSTP
)</f>
        <v>TP-2026350003</v>
      </c>
      <c r="C24" s="6" t="str" cm="1">
        <f t="array" ref="C24:C28">_xlfn.LET(
_xlpm.RASTP,_xlfn.XLOOKUP(NF_SELECIONADA,EMISSAOTP[NF],EMISSAOTP[RASTREABILIDADE]),
_xlpm.RASSP,_xlfn.XLOOKUP(NF_SELECIONADA,EMISSAOSP[NF],EMISSAOSP[RASTREABILIDADE]),
_xlpm.PRODSTP,_xlfn._xlws.FILTER(SAIDAS[EMBALAGEM],(SAIDAS[TRANSPORTE]=_xlpm.RASTP),""),
_xlpm.PRODSTP
)</f>
        <v>PALLET 0,99 x 1,16</v>
      </c>
      <c r="D24" s="6" t="str">
        <f>IF(C24="","",_xlfn.XLOOKUP(C24,EMBALAGENS[EMBALAGEM],EMBALAGENS[TIPO]))</f>
        <v>TRANSPORT PACKAGE</v>
      </c>
      <c r="E24" s="9">
        <f>IF(F24="","",_xlfn.XLOOKUP(F24,FORNECEDORES[FORNECEDOR],FORNECEDORES[ID]))</f>
        <v>1</v>
      </c>
      <c r="F24" s="6" t="str" cm="1">
        <f t="array" ref="F24:F28">_xlfn.LET(
_xlpm.RASTP,_xlfn.XLOOKUP(NF_SELECIONADA,EMISSAOTP[NF],EMISSAOTP[RASTREABILIDADE]),
_xlpm.RASSP,_xlfn.XLOOKUP(NF_SELECIONADA,EMISSAOSP[NF],EMISSAOSP[RASTREABILIDADE]),
_xlpm.PRODSTP,_xlfn._xlws.FILTER(SAIDAS[FORNECEDOR],(SAIDAS[TRANSPORTE]=_xlpm.RASTP),""),
_xlpm.PRODSTP
)</f>
        <v>FORPALLET INDUSTRIA E COMERCIO DE PALLETS LTDA</v>
      </c>
    </row>
    <row r="25" spans="2:9" s="6" customFormat="1" ht="20.100000000000001" customHeight="1" x14ac:dyDescent="0.25">
      <c r="B25" s="9" t="str">
        <v>TP-2026350003</v>
      </c>
      <c r="C25" s="6" t="str">
        <v>CARTON BOX 10 KG</v>
      </c>
      <c r="D25" s="6" t="str">
        <f>IF(C25="","",_xlfn.XLOOKUP(C25,EMBALAGENS[EMBALAGEM],EMBALAGENS[TIPO]))</f>
        <v>TRANSPORT PACKAGE</v>
      </c>
      <c r="E25" s="9">
        <f>IF(F25="","",_xlfn.XLOOKUP(F25,FORNECEDORES[FORNECEDOR],FORNECEDORES[ID]))</f>
        <v>2</v>
      </c>
      <c r="F25" s="6" t="str">
        <v>KLABIN S.A.</v>
      </c>
    </row>
    <row r="26" spans="2:9" s="6" customFormat="1" ht="20.100000000000001" customHeight="1" x14ac:dyDescent="0.25">
      <c r="B26" s="9" t="str">
        <v>TP-2026350003</v>
      </c>
      <c r="C26" s="6" t="str">
        <v>STRAPPING MATERIAL</v>
      </c>
      <c r="D26" s="6" t="str">
        <f>IF(C26="","",_xlfn.XLOOKUP(C26,EMBALAGENS[EMBALAGEM],EMBALAGENS[TIPO]))</f>
        <v>TRANSPORT PACKAGE</v>
      </c>
      <c r="E26" s="9">
        <f>IF(F26="","",_xlfn.XLOOKUP(F26,FORNECEDORES[FORNECEDOR],FORNECEDORES[ID]))</f>
        <v>3</v>
      </c>
      <c r="F26" s="6" t="str">
        <v>FPACK EMBALAGENS INDUSTRIAIS LTDA</v>
      </c>
    </row>
    <row r="27" spans="2:9" s="6" customFormat="1" ht="20.100000000000001" customHeight="1" x14ac:dyDescent="0.25">
      <c r="B27" s="9" t="str">
        <v>TP-2026350003</v>
      </c>
      <c r="C27" s="6" t="str">
        <v>CORNERBOARD</v>
      </c>
      <c r="D27" s="6" t="str">
        <f>IF(C27="","",_xlfn.XLOOKUP(C27,EMBALAGENS[EMBALAGEM],EMBALAGENS[TIPO]))</f>
        <v>TRANSPORT PACKAGE</v>
      </c>
      <c r="E27" s="9">
        <f>IF(F27="","",_xlfn.XLOOKUP(F27,FORNECEDORES[FORNECEDOR],FORNECEDORES[ID]))</f>
        <v>4</v>
      </c>
      <c r="F27" s="6" t="str">
        <v>TUBOTECNICO INDUSTRIA E COMERCIO DE EMBALAGENS LTDA ME</v>
      </c>
    </row>
    <row r="28" spans="2:9" s="6" customFormat="1" ht="20.100000000000001" customHeight="1" x14ac:dyDescent="0.25">
      <c r="B28" s="9" t="str">
        <v>TP-2026350003</v>
      </c>
      <c r="C28" s="6" t="str">
        <v>LABELS</v>
      </c>
      <c r="D28" s="6" t="str">
        <f>IF(C28="","",_xlfn.XLOOKUP(C28,EMBALAGENS[EMBALAGEM],EMBALAGENS[TIPO]))</f>
        <v>TRANSPORT PACKAGE</v>
      </c>
      <c r="E28" s="9">
        <f>IF(F28="","",_xlfn.XLOOKUP(F28,FORNECEDORES[FORNECEDOR],FORNECEDORES[ID]))</f>
        <v>5</v>
      </c>
      <c r="F28" s="6" t="str">
        <v>ETICK INDUSTRIA DE ETIQUETAS LTDA</v>
      </c>
    </row>
    <row r="29" spans="2:9" s="6" customFormat="1" ht="20.100000000000001" customHeight="1" x14ac:dyDescent="0.25">
      <c r="B29" s="9"/>
      <c r="E29" s="9" t="str">
        <f>IF(F29="","",_xlfn.XLOOKUP(F29,FORNECEDORES[FORNECEDOR],FORNECEDORES[ID]))</f>
        <v/>
      </c>
    </row>
    <row r="30" spans="2:9" s="6" customFormat="1" ht="20.100000000000001" customHeight="1" x14ac:dyDescent="0.25">
      <c r="B30" s="9"/>
      <c r="E30" s="9" t="str">
        <f>IF(F30="","",_xlfn.XLOOKUP(F30,FORNECEDORES[FORNECEDOR],FORNECEDORES[ID]))</f>
        <v/>
      </c>
    </row>
    <row r="31" spans="2:9" s="6" customFormat="1" ht="20.100000000000001" customHeight="1" x14ac:dyDescent="0.25">
      <c r="B31" s="9"/>
      <c r="E31" s="9" t="str">
        <f>IF(F31="","",_xlfn.XLOOKUP(F31,FORNECEDORES[FORNECEDOR],FORNECEDORES[ID]))</f>
        <v/>
      </c>
    </row>
    <row r="32" spans="2:9" s="6" customFormat="1" ht="20.100000000000001" customHeight="1" x14ac:dyDescent="0.25">
      <c r="B32" s="9"/>
      <c r="E32" s="9"/>
    </row>
    <row r="33" spans="2:9" s="6" customFormat="1" ht="21.95" customHeight="1" x14ac:dyDescent="0.25">
      <c r="B33" s="16" t="s">
        <v>61</v>
      </c>
      <c r="C33" s="15"/>
      <c r="D33" s="15"/>
      <c r="E33" s="15"/>
      <c r="F33" s="15"/>
      <c r="G33" s="15"/>
      <c r="H33" s="15"/>
      <c r="I33" s="15"/>
    </row>
    <row r="34" spans="2:9" s="6" customFormat="1" ht="24" customHeight="1" x14ac:dyDescent="0.25">
      <c r="B34" s="15" t="s">
        <v>62</v>
      </c>
      <c r="C34" s="15"/>
      <c r="D34" s="15"/>
      <c r="E34" s="15"/>
      <c r="F34" s="15"/>
      <c r="G34" s="15"/>
      <c r="H34" s="15"/>
      <c r="I34" s="15"/>
    </row>
    <row r="35" spans="2:9" s="6" customFormat="1" x14ac:dyDescent="0.25">
      <c r="B35" s="5" t="s">
        <v>51</v>
      </c>
      <c r="C35" s="5" t="s">
        <v>63</v>
      </c>
      <c r="D35" s="12" t="s">
        <v>64</v>
      </c>
      <c r="E35" s="13"/>
    </row>
    <row r="36" spans="2:9" s="6" customFormat="1" ht="20.100000000000001" customHeight="1" x14ac:dyDescent="0.25">
      <c r="B36" s="9" t="str" cm="1">
        <f t="array" ref="B36">_xlfn.LET(
_xlpm.RASTP,_xlfn.XLOOKUP(NF_SELECIONADA,EMISSAOTP[NF],EMISSAOTP[RASTREABILIDADE]),
_xlpm.RASSP,_xlfn.XLOOKUP(NF_SELECIONADA,EMISSAOSP[NF],EMISSAOSP[RASTREABILIDADE]),
_xlpm.PRODSSP,_xlfn._xlws.FILTER(SAIDAS[VENDA],(SAIDAS[VENDA]=_xlpm.RASSP),""),
_xlpm.PRODSSP
)</f>
        <v>SP-2026350003</v>
      </c>
      <c r="C36" s="6" t="str" cm="1">
        <f t="array" ref="C36">_xlfn.LET(
_xlpm.RASTP,_xlfn.XLOOKUP(NF_SELECIONADA,EMISSAOTP[NF],EMISSAOTP[RASTREABILIDADE]),
_xlpm.RASSP,_xlfn.XLOOKUP(NF_SELECIONADA,EMISSAOSP[NF],EMISSAOSP[RASTREABILIDADE]),
_xlpm.PRODSSP,_xlfn._xlws.FILTER(SAIDAS[EMBALAGEM],(SAIDAS[VENDA]=_xlpm.RASSP),""),
_xlpm.PRODSSP
)</f>
        <v>STICKERS</v>
      </c>
      <c r="D36" s="6" t="str" cm="1">
        <f t="array" ref="D36">_xlfn.LET(
_xlpm.RASTP,_xlfn.XLOOKUP(NF_SELECIONADA,EMISSAOTP[NF],EMISSAOTP[RASTREABILIDADE]),
_xlpm.RASSP,_xlfn.XLOOKUP(NF_SELECIONADA,EMISSAOSP[NF],EMISSAOSP[RASTREABILIDADE]),
_xlpm.PRODSSP,_xlfn._xlws.FILTER(SAIDAS[FORNECEDOR],(SAIDAS[VENDA]=_xlpm.RASSP),""),
_xlpm.PRODSSP
)</f>
        <v>ETICK INDUSTRIA DE ETIQUETAS LTDA</v>
      </c>
      <c r="E36" s="9"/>
    </row>
    <row r="37" spans="2:9" s="6" customFormat="1" ht="20.100000000000001" customHeight="1" x14ac:dyDescent="0.25">
      <c r="B37" s="9"/>
      <c r="E37" s="9"/>
    </row>
    <row r="38" spans="2:9" s="6" customFormat="1" ht="20.100000000000001" customHeight="1" x14ac:dyDescent="0.25">
      <c r="B38" s="9"/>
      <c r="E38" s="9"/>
    </row>
    <row r="39" spans="2:9" s="6" customFormat="1" ht="20.100000000000001" customHeight="1" x14ac:dyDescent="0.25">
      <c r="B39" s="9"/>
      <c r="E39" s="9"/>
    </row>
    <row r="40" spans="2:9" s="6" customFormat="1" ht="21.95" customHeight="1" x14ac:dyDescent="0.25">
      <c r="B40" s="16" t="s">
        <v>58</v>
      </c>
      <c r="C40" s="15"/>
      <c r="D40" s="15"/>
      <c r="E40" s="15"/>
      <c r="F40" s="15"/>
      <c r="G40" s="15"/>
      <c r="H40" s="15"/>
      <c r="I40" s="15"/>
    </row>
    <row r="41" spans="2:9" s="6" customFormat="1" ht="21.75" customHeight="1" x14ac:dyDescent="0.25">
      <c r="B41" s="5" t="s">
        <v>57</v>
      </c>
      <c r="C41" s="12" t="s">
        <v>59</v>
      </c>
      <c r="D41" s="13"/>
      <c r="E41" s="5" t="s">
        <v>60</v>
      </c>
      <c r="F41" s="12" t="s">
        <v>88</v>
      </c>
      <c r="G41" s="21"/>
      <c r="H41" s="21"/>
      <c r="I41" s="13"/>
    </row>
    <row r="42" spans="2:9" s="6" customFormat="1" ht="20.100000000000001" customHeight="1" x14ac:dyDescent="0.25">
      <c r="B42" s="9">
        <f>IF(C42="","",_xlfn.XLOOKUP(C42,FORNECEDORES[FORNECEDOR],FORNECEDORES[ID]))</f>
        <v>1</v>
      </c>
      <c r="C42" s="6" t="str" cm="1">
        <f t="array" ref="C42:C47">_xlfn.LET(
_xlpm.RASTP,_xlfn.XLOOKUP(NF_SELECIONADA,EMISSAOTP[NF],EMISSAOTP[RASTREABILIDADE]),
_xlpm.RASSP,_xlfn.XLOOKUP(NF_SELECIONADA,EMISSAOSP[NF],EMISSAOSP[RASTREABILIDADE]),
_xlpm.FORTP,_xlfn._xlws.FILTER(SAIDAS[FORNECEDOR],(SAIDAS[TRANSPORTE]=_xlpm.RASTP),""),
_xlpm.FORSP,_xlfn._xlws.FILTER(SAIDAS[FORNECEDOR],(SAIDAS[TRANSPORTE]=_xlpm.RASSP),""),
_xlpm.LISTAUNICA,_xlfn.UNIQUE(_xlfn.VSTACK(_xlpm.FORTP,_xlpm.FORSP)),
_xlpm.LISTAUNICA
)</f>
        <v>FORPALLET INDUSTRIA E COMERCIO DE PALLETS LTDA</v>
      </c>
      <c r="E42" s="9" t="str" cm="1">
        <f t="array" ref="E42">_xlfn.LET(
_xlpm.COLUNAMATERIAL,_xlfn.VSTACK($C$24:$C$32,$C$36:$C$39),
_xlpm.COLUNAFORNECEDOR,_xlfn.VSTACK($F$24:$F$32,$D$36:$D$39),
_xlpm.PRODUTOS,_xlfn._xlws.FILTER(_xlpm.COLUNAMATERIAL,_xlpm.COLUNAFORNECEDOR=C42),
_xlfn.TEXTJOIN(", ",TRUE,_xlpm.PRODUTOS)
)</f>
        <v>PALLET 0,99 x 1,16</v>
      </c>
      <c r="F42" s="6" t="str">
        <f>IF(C42="","",_xlfn.XLOOKUP(C42,FORNECEDORES[FORNECEDOR],FORNECEDORES[ENDEREÇO],""))</f>
        <v>Rua Raimundo Gurgel da Nobrega, 359, Dix-Sept Rosado,59.609-003, Mossoró/RN - Brazil</v>
      </c>
      <c r="I42" s="9"/>
    </row>
    <row r="43" spans="2:9" s="6" customFormat="1" ht="20.100000000000001" customHeight="1" x14ac:dyDescent="0.25">
      <c r="B43" s="9">
        <f>IF(C43="","",_xlfn.XLOOKUP(C43,FORNECEDORES[FORNECEDOR],FORNECEDORES[ID]))</f>
        <v>2</v>
      </c>
      <c r="C43" s="6" t="str">
        <v>KLABIN S.A.</v>
      </c>
      <c r="E43" s="9" t="str" cm="1">
        <f t="array" ref="E43">_xlfn.LET(
_xlpm.COLUNAMATERIAL,_xlfn.VSTACK($C$24:$C$32,$C$36:$C$39),
_xlpm.COLUNAFORNECEDOR,_xlfn.VSTACK($F$24:$F$32,$D$36:$D$39),
_xlpm.PRODUTOS,_xlfn._xlws.FILTER(_xlpm.COLUNAMATERIAL,_xlpm.COLUNAFORNECEDOR=C43),
_xlfn.TEXTJOIN(", ",TRUE,_xlpm.PRODUTOS)
)</f>
        <v>CARTON BOX 10 KG</v>
      </c>
      <c r="F43" s="6" t="str">
        <f>IF(C43="","",_xlfn.XLOOKUP(C43,FORNECEDORES[FORNECEDOR],FORNECEDORES[ENDEREÇO],""))</f>
        <v>Av. Presidente Castelo Branco, 1145, 62.881-315, Catu, Horizonte/CE - Brazil</v>
      </c>
      <c r="I43" s="9"/>
    </row>
    <row r="44" spans="2:9" s="6" customFormat="1" ht="20.100000000000001" customHeight="1" x14ac:dyDescent="0.25">
      <c r="B44" s="9">
        <f>IF(C44="","",_xlfn.XLOOKUP(C44,FORNECEDORES[FORNECEDOR],FORNECEDORES[ID]))</f>
        <v>3</v>
      </c>
      <c r="C44" s="6" t="str">
        <v>FPACK EMBALAGENS INDUSTRIAIS LTDA</v>
      </c>
      <c r="E44" s="9" t="str" cm="1">
        <f t="array" ref="E44">_xlfn.LET(
_xlpm.COLUNAMATERIAL,_xlfn.VSTACK($C$24:$C$32,$C$36:$C$39),
_xlpm.COLUNAFORNECEDOR,_xlfn.VSTACK($F$24:$F$32,$D$36:$D$39),
_xlpm.PRODUTOS,_xlfn._xlws.FILTER(_xlpm.COLUNAMATERIAL,_xlpm.COLUNAFORNECEDOR=C44),
_xlfn.TEXTJOIN(", ",TRUE,_xlpm.PRODUTOS)
)</f>
        <v>STRAPPING MATERIAL</v>
      </c>
      <c r="F44" s="6" t="str">
        <f>IF(C44="","",_xlfn.XLOOKUP(C44,FORNECEDORES[FORNECEDOR],FORNECEDORES[ENDEREÇO],""))</f>
        <v>Rua Projetada C, 10, 58.475-000, Distrito Industrial do Ligeiro, Queimadas/PB - Brazil</v>
      </c>
      <c r="I44" s="9"/>
    </row>
    <row r="45" spans="2:9" s="6" customFormat="1" ht="20.100000000000001" customHeight="1" x14ac:dyDescent="0.25">
      <c r="B45" s="9">
        <f>IF(C45="","",_xlfn.XLOOKUP(C45,FORNECEDORES[FORNECEDOR],FORNECEDORES[ID]))</f>
        <v>4</v>
      </c>
      <c r="C45" s="6" t="str">
        <v>TUBOTECNICO INDUSTRIA E COMERCIO DE EMBALAGENS LTDA ME</v>
      </c>
      <c r="E45" s="9" t="str" cm="1">
        <f t="array" ref="E45">_xlfn.LET(
_xlpm.COLUNAMATERIAL,_xlfn.VSTACK($C$24:$C$32,$C$36:$C$39),
_xlpm.COLUNAFORNECEDOR,_xlfn.VSTACK($F$24:$F$32,$D$36:$D$39),
_xlpm.PRODUTOS,_xlfn._xlws.FILTER(_xlpm.COLUNAMATERIAL,_xlpm.COLUNAFORNECEDOR=C45),
_xlfn.TEXTJOIN(", ",TRUE,_xlpm.PRODUTOS)
)</f>
        <v>CORNERBOARD</v>
      </c>
      <c r="F45" s="6" t="str">
        <f>IF(C45="","",_xlfn.XLOOKUP(C45,FORNECEDORES[FORNECEDOR],FORNECEDORES[ENDEREÇO],""))</f>
        <v>Rua Fco. Domingos de Sousa, 41, Catolé, Horizonte/CE - Brazil</v>
      </c>
      <c r="I45" s="9"/>
    </row>
    <row r="46" spans="2:9" s="6" customFormat="1" ht="20.100000000000001" customHeight="1" x14ac:dyDescent="0.25">
      <c r="B46" s="9">
        <f>IF(C46="","",_xlfn.XLOOKUP(C46,FORNECEDORES[FORNECEDOR],FORNECEDORES[ID]))</f>
        <v>5</v>
      </c>
      <c r="C46" s="6" t="str">
        <v>ETICK INDUSTRIA DE ETIQUETAS LTDA</v>
      </c>
      <c r="E46" s="9" t="str" cm="1">
        <f t="array" ref="E46">_xlfn.LET(
_xlpm.COLUNAMATERIAL,_xlfn.VSTACK($C$24:$C$32,$C$36:$C$39),
_xlpm.COLUNAFORNECEDOR,_xlfn.VSTACK($F$24:$F$32,$D$36:$D$39),
_xlpm.PRODUTOS,_xlfn._xlws.FILTER(_xlpm.COLUNAMATERIAL,_xlpm.COLUNAFORNECEDOR=C46),
_xlfn.TEXTJOIN(", ",TRUE,_xlpm.PRODUTOS)
)</f>
        <v>LABELS, STICKERS</v>
      </c>
      <c r="F46" s="6" t="str">
        <f>IF(C46="","",_xlfn.XLOOKUP(C46,FORNECEDORES[FORNECEDOR],FORNECEDORES[ENDEREÇO],""))</f>
        <v>Rua Padre Paulino, 480, 60.864-240, Cajazeiras, Fortaleza/CE - Brazil</v>
      </c>
      <c r="I46" s="9"/>
    </row>
    <row r="47" spans="2:9" s="6" customFormat="1" ht="20.100000000000001" customHeight="1" x14ac:dyDescent="0.25">
      <c r="B47" s="9" t="str">
        <f>IF(C47="","",_xlfn.XLOOKUP(C47,FORNECEDORES[FORNECEDOR],FORNECEDORES[ID]))</f>
        <v/>
      </c>
      <c r="C47" s="6" t="str">
        <v/>
      </c>
      <c r="E47" s="9" t="str" cm="1">
        <f t="array" ref="E47">_xlfn.LET(
_xlpm.COLUNAMATERIAL,_xlfn.VSTACK($C$24:$C$32,$C$36:$C$39),
_xlpm.COLUNAFORNECEDOR,_xlfn.VSTACK($F$24:$F$32,$D$36:$D$39),
_xlpm.PRODUTOS,_xlfn._xlws.FILTER(_xlpm.COLUNAMATERIAL,_xlpm.COLUNAFORNECEDOR=C47),
_xlfn.TEXTJOIN(", ",TRUE,_xlpm.PRODUTOS)
)</f>
        <v/>
      </c>
      <c r="F47" s="6" t="str">
        <f>IF(C47="","",_xlfn.XLOOKUP(C47,FORNECEDORES[FORNECEDOR],FORNECEDORES[ENDEREÇO],""))</f>
        <v/>
      </c>
      <c r="I47" s="9"/>
    </row>
    <row r="48" spans="2:9" s="6" customFormat="1" ht="20.100000000000001" customHeight="1" x14ac:dyDescent="0.25">
      <c r="B48" s="9" t="str">
        <f>IF(C48="","",_xlfn.XLOOKUP(C48,FORNECEDORES[FORNECEDOR],FORNECEDORES[ID]))</f>
        <v/>
      </c>
      <c r="E48" s="9" t="str" cm="1">
        <f t="array" ref="E48">_xlfn.LET(
_xlpm.COLUNAMATERIAL,_xlfn.VSTACK($C$24:$C$32,$C$36:$C$39),
_xlpm.COLUNAFORNECEDOR,_xlfn.VSTACK($F$24:$F$32,$D$36:$D$39),
_xlpm.PRODUTOS,_xlfn._xlws.FILTER(_xlpm.COLUNAMATERIAL,_xlpm.COLUNAFORNECEDOR=C48),
_xlfn.TEXTJOIN(", ",TRUE,_xlpm.PRODUTOS)
)</f>
        <v/>
      </c>
      <c r="F48" s="6" t="str">
        <f>IF(C48="","",_xlfn.XLOOKUP(C48,FORNECEDORES[FORNECEDOR],FORNECEDORES[ENDEREÇO],""))</f>
        <v/>
      </c>
      <c r="I48" s="9"/>
    </row>
    <row r="49" spans="2:9" s="6" customFormat="1" ht="20.100000000000001" customHeight="1" x14ac:dyDescent="0.25">
      <c r="B49" s="9"/>
      <c r="E49" s="9" t="str" cm="1">
        <f t="array" ref="E49">_xlfn.LET(
_xlpm.COLUNAMATERIAL,_xlfn.VSTACK($C$24:$C$32,$C$36:$C$39),
_xlpm.COLUNAFORNECEDOR,_xlfn.VSTACK($F$24:$F$32,$D$36:$D$39),
_xlpm.PRODUTOS,_xlfn._xlws.FILTER(_xlpm.COLUNAMATERIAL,_xlpm.COLUNAFORNECEDOR=C49),
_xlfn.TEXTJOIN(", ",TRUE,_xlpm.PRODUTOS)
)</f>
        <v/>
      </c>
      <c r="F49" s="6" t="str">
        <f>IF(C49="","",_xlfn.XLOOKUP(C49,FORNECEDORES[FORNECEDOR],FORNECEDORES[ENDEREÇO],""))</f>
        <v/>
      </c>
      <c r="I49" s="9"/>
    </row>
    <row r="50" spans="2:9" s="6" customFormat="1" ht="21.95" customHeight="1" x14ac:dyDescent="0.25">
      <c r="B50" s="16" t="s">
        <v>101</v>
      </c>
      <c r="C50" s="15"/>
      <c r="D50" s="15"/>
      <c r="E50" s="15"/>
      <c r="F50" s="15"/>
      <c r="G50" s="15"/>
      <c r="H50" s="15"/>
      <c r="I50" s="15"/>
    </row>
    <row r="51" spans="2:9" s="6" customFormat="1" ht="21" customHeight="1" x14ac:dyDescent="0.25">
      <c r="B51" s="5" t="s">
        <v>65</v>
      </c>
      <c r="C51" s="5" t="s">
        <v>66</v>
      </c>
      <c r="D51" s="17" t="s">
        <v>67</v>
      </c>
      <c r="E51" s="17"/>
      <c r="F51" s="17"/>
      <c r="G51" s="17"/>
      <c r="H51" s="17"/>
      <c r="I51" s="17"/>
    </row>
    <row r="52" spans="2:9" s="6" customFormat="1" ht="27.75" customHeight="1" x14ac:dyDescent="0.25">
      <c r="B52" s="4" t="s">
        <v>102</v>
      </c>
      <c r="C52" s="23" t="s">
        <v>103</v>
      </c>
      <c r="D52" s="14" t="s">
        <v>104</v>
      </c>
      <c r="E52" s="14"/>
      <c r="F52" s="14"/>
      <c r="G52" s="14"/>
      <c r="H52" s="14"/>
      <c r="I52" s="14"/>
    </row>
    <row r="53" spans="2:9" s="6" customFormat="1" ht="27.75" customHeight="1" x14ac:dyDescent="0.25">
      <c r="B53" s="4" t="s">
        <v>5</v>
      </c>
      <c r="C53" s="4" t="s">
        <v>68</v>
      </c>
      <c r="D53" s="14" t="s">
        <v>69</v>
      </c>
      <c r="E53" s="14"/>
      <c r="F53" s="14"/>
      <c r="G53" s="14"/>
      <c r="H53" s="14"/>
      <c r="I53" s="14"/>
    </row>
    <row r="54" spans="2:9" s="6" customFormat="1" ht="27.75" customHeight="1" x14ac:dyDescent="0.25">
      <c r="B54" s="4" t="s">
        <v>6</v>
      </c>
      <c r="C54" s="4" t="s">
        <v>70</v>
      </c>
      <c r="D54" s="14" t="s">
        <v>71</v>
      </c>
      <c r="E54" s="14"/>
      <c r="F54" s="14"/>
      <c r="G54" s="14"/>
      <c r="H54" s="14"/>
      <c r="I54" s="14"/>
    </row>
    <row r="55" spans="2:9" x14ac:dyDescent="0.25">
      <c r="B55" s="3"/>
      <c r="C55" s="3"/>
      <c r="D55" s="3"/>
      <c r="E55" s="3"/>
      <c r="F55" s="3"/>
      <c r="G55" s="3"/>
      <c r="H55" s="3"/>
      <c r="I55" s="3"/>
    </row>
    <row r="58" spans="2:9" x14ac:dyDescent="0.25">
      <c r="H58" s="11" t="str">
        <f ca="1">_xlfn.LET(
_xlpm.LOCAL,"Afonso Bezerra/RN, ",
_xlfn.CONCAT(_xlpm.LOCAL,TEXT(TODAY(),"[$-en-US]mmmm dd, AAAA")))</f>
        <v>Afonso Bezerra/RN, August 14, 2026</v>
      </c>
      <c r="I58" s="11"/>
    </row>
    <row r="63" spans="2:9" x14ac:dyDescent="0.25">
      <c r="B63" s="24" t="s">
        <v>106</v>
      </c>
    </row>
    <row r="64" spans="2:9" x14ac:dyDescent="0.25">
      <c r="B64" t="s">
        <v>107</v>
      </c>
    </row>
  </sheetData>
  <mergeCells count="33">
    <mergeCell ref="D52:I52"/>
    <mergeCell ref="F23:H23"/>
    <mergeCell ref="C5:G5"/>
    <mergeCell ref="B5:B8"/>
    <mergeCell ref="C15:E15"/>
    <mergeCell ref="G15:I15"/>
    <mergeCell ref="B10:I10"/>
    <mergeCell ref="F41:I41"/>
    <mergeCell ref="B12:I12"/>
    <mergeCell ref="C13:E13"/>
    <mergeCell ref="G13:I13"/>
    <mergeCell ref="C14:E14"/>
    <mergeCell ref="G14:I14"/>
    <mergeCell ref="G19:I19"/>
    <mergeCell ref="B21:I21"/>
    <mergeCell ref="B22:I22"/>
    <mergeCell ref="C16:E16"/>
    <mergeCell ref="G16:I16"/>
    <mergeCell ref="C17:E17"/>
    <mergeCell ref="G17:I17"/>
    <mergeCell ref="C18:E18"/>
    <mergeCell ref="G18:I18"/>
    <mergeCell ref="H58:I58"/>
    <mergeCell ref="D35:E35"/>
    <mergeCell ref="D54:I54"/>
    <mergeCell ref="B34:I34"/>
    <mergeCell ref="B50:I50"/>
    <mergeCell ref="D51:I51"/>
    <mergeCell ref="D53:I53"/>
    <mergeCell ref="C41:D41"/>
    <mergeCell ref="B33:I33"/>
    <mergeCell ref="B40:I40"/>
    <mergeCell ref="C19:E19"/>
  </mergeCells>
  <conditionalFormatting sqref="B24:H32">
    <cfRule type="expression" dxfId="7" priority="5">
      <formula>IF(AND($B24&lt;&gt;"",MOD(ROW(),2)=1),TRUE,FALSE)</formula>
    </cfRule>
    <cfRule type="expression" dxfId="6" priority="6">
      <formula>IF(AND($B24&lt;&gt;"",MOD(ROW(),2)=0),TRUE,FALSE)</formula>
    </cfRule>
  </conditionalFormatting>
  <conditionalFormatting sqref="B36:E39">
    <cfRule type="expression" dxfId="3" priority="3">
      <formula>IF(AND($B36&lt;&gt;"",MOD(ROW(),2)=1),TRUE,FALSE)</formula>
    </cfRule>
    <cfRule type="expression" dxfId="2" priority="4">
      <formula>IF(AND($B36&lt;&gt;"",MOD(ROW(),2)=0),TRUE,FALSE)</formula>
    </cfRule>
  </conditionalFormatting>
  <conditionalFormatting sqref="B42:I49">
    <cfRule type="expression" dxfId="1" priority="1">
      <formula>IF(AND($B42&lt;&gt;"",MOD(ROW(),2)=1),TRUE,FALSE)</formula>
    </cfRule>
    <cfRule type="expression" dxfId="0" priority="2">
      <formula>IF(AND($B42&lt;&gt;"",MOD(ROW(),2)=0),TRUE,FALSE)</formula>
    </cfRule>
  </conditionalFormatting>
  <pageMargins left="0.12" right="0.12" top="0.36" bottom="0.4" header="0.18" footer="0.2"/>
  <pageSetup paperSize="9"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FC0CE-6AC5-4273-860D-DB7C9F9BD595}">
  <dimension ref="B3:L10"/>
  <sheetViews>
    <sheetView workbookViewId="0">
      <selection activeCell="J9" sqref="J9"/>
    </sheetView>
  </sheetViews>
  <sheetFormatPr defaultRowHeight="15" x14ac:dyDescent="0.25"/>
  <cols>
    <col min="2" max="3" width="11.85546875" customWidth="1"/>
    <col min="4" max="4" width="11" customWidth="1"/>
    <col min="5" max="5" width="11.85546875" customWidth="1"/>
    <col min="6" max="6" width="21.85546875" customWidth="1"/>
    <col min="8" max="9" width="11.85546875" customWidth="1"/>
    <col min="10" max="10" width="11" customWidth="1"/>
    <col min="11" max="11" width="11.85546875" customWidth="1"/>
    <col min="12" max="12" width="21.85546875" customWidth="1"/>
  </cols>
  <sheetData>
    <row r="3" spans="2:12" ht="15.75" x14ac:dyDescent="0.25">
      <c r="B3" s="19" t="s">
        <v>8</v>
      </c>
      <c r="C3" s="19"/>
      <c r="D3" s="19"/>
      <c r="E3" s="19"/>
      <c r="F3" s="19"/>
      <c r="H3" s="19" t="s">
        <v>9</v>
      </c>
      <c r="I3" s="19"/>
      <c r="J3" s="19"/>
      <c r="K3" s="19"/>
      <c r="L3" s="19"/>
    </row>
    <row r="5" spans="2:12" x14ac:dyDescent="0.25">
      <c r="B5" t="s">
        <v>1</v>
      </c>
      <c r="C5" t="s">
        <v>7</v>
      </c>
      <c r="D5" t="s">
        <v>0</v>
      </c>
      <c r="E5" t="s">
        <v>2</v>
      </c>
      <c r="F5" t="s">
        <v>4</v>
      </c>
      <c r="H5" t="s">
        <v>1</v>
      </c>
      <c r="I5" t="s">
        <v>7</v>
      </c>
      <c r="J5" t="s">
        <v>0</v>
      </c>
      <c r="K5" t="s">
        <v>2</v>
      </c>
      <c r="L5" t="s">
        <v>4</v>
      </c>
    </row>
    <row r="6" spans="2:12" x14ac:dyDescent="0.25">
      <c r="B6">
        <v>1</v>
      </c>
      <c r="C6">
        <v>25</v>
      </c>
      <c r="D6" s="1">
        <v>46247</v>
      </c>
      <c r="E6">
        <f>IF(EMISSAOTP[[#This Row],[DATA]]="","",WEEKNUM(EMISSAOTP[[#This Row],[DATA]]))</f>
        <v>33</v>
      </c>
      <c r="F6" t="str">
        <f>_xlfn.LET(
_xlpm.ANO,YEAR(EMISSAOTP[[#This Row],[DATA]]),
_xlpm.SEM,EMISSAOTP[[#This Row],[SEMANA]],
_xlpm.PREF,"TP",
_xlpm.SEQ,TEXT(EMISSAOTP[[#This Row],[ID]],"0000"),
IF(OR(EMISSAOTP[[#This Row],[ID]]="",EMISSAOTP[[#This Row],[DATA]]="",EMISSAOTP[[#This Row],[SEMANA]]=""),"",_xlfn.CONCAT(_xlpm.PREF,"-",_xlpm.ANO,_xlpm.SEM,_xlpm.SEQ))
)</f>
        <v>TP-2026330001</v>
      </c>
      <c r="H6">
        <v>1</v>
      </c>
      <c r="I6">
        <v>25</v>
      </c>
      <c r="J6" s="1">
        <v>46247</v>
      </c>
      <c r="K6">
        <f>IF(EMISSAOSP[[#This Row],[DATA]]="","",WEEKNUM(EMISSAOSP[[#This Row],[DATA]]))</f>
        <v>33</v>
      </c>
      <c r="L6" t="str">
        <f>_xlfn.LET(
_xlpm.ANO,YEAR(EMISSAOSP[[#This Row],[DATA]]),
_xlpm.SEM,EMISSAOSP[[#This Row],[SEMANA]],
_xlpm.PREF,"SP",
_xlpm.SEQ,TEXT(EMISSAOSP[[#This Row],[ID]],"0000"),
IF(OR(EMISSAOSP[[#This Row],[ID]]="",EMISSAOSP[[#This Row],[DATA]]="",EMISSAOSP[[#This Row],[SEMANA]]=""),"",_xlfn.CONCAT(_xlpm.PREF,"-",_xlpm.ANO,_xlpm.SEM,_xlpm.SEQ))
)</f>
        <v>SP-2026330001</v>
      </c>
    </row>
    <row r="7" spans="2:12" x14ac:dyDescent="0.25">
      <c r="B7">
        <f>B6+1</f>
        <v>2</v>
      </c>
      <c r="C7">
        <v>26</v>
      </c>
      <c r="D7" s="1">
        <v>46251</v>
      </c>
      <c r="E7">
        <f>IF(EMISSAOTP[[#This Row],[DATA]]="","",WEEKNUM(EMISSAOTP[[#This Row],[DATA]]))</f>
        <v>34</v>
      </c>
      <c r="F7" t="str">
        <f>_xlfn.LET(
_xlpm.ANO,YEAR(EMISSAOTP[[#This Row],[DATA]]),
_xlpm.SEM,EMISSAOTP[[#This Row],[SEMANA]],
_xlpm.PREF,"TP",
_xlpm.SEQ,TEXT(EMISSAOTP[[#This Row],[ID]],"0000"),
IF(OR(EMISSAOTP[[#This Row],[ID]]="",EMISSAOTP[[#This Row],[DATA]]="",EMISSAOTP[[#This Row],[SEMANA]]=""),"",_xlfn.CONCAT(_xlpm.PREF,"-",_xlpm.ANO,_xlpm.SEM,_xlpm.SEQ))
)</f>
        <v>TP-2026340002</v>
      </c>
      <c r="H7">
        <f>H6+1</f>
        <v>2</v>
      </c>
      <c r="I7">
        <v>26</v>
      </c>
      <c r="J7" s="1">
        <v>46251</v>
      </c>
      <c r="K7">
        <f>IF(EMISSAOSP[[#This Row],[DATA]]="","",WEEKNUM(EMISSAOSP[[#This Row],[DATA]]))</f>
        <v>34</v>
      </c>
      <c r="L7" t="str">
        <f>_xlfn.LET(
_xlpm.ANO,YEAR(EMISSAOSP[[#This Row],[DATA]]),
_xlpm.SEM,EMISSAOSP[[#This Row],[SEMANA]],
_xlpm.PREF,"SP",
_xlpm.SEQ,TEXT(EMISSAOSP[[#This Row],[ID]],"0000"),
IF(OR(EMISSAOSP[[#This Row],[ID]]="",EMISSAOSP[[#This Row],[DATA]]="",EMISSAOSP[[#This Row],[SEMANA]]=""),"",_xlfn.CONCAT(_xlpm.PREF,"-",_xlpm.ANO,_xlpm.SEM,_xlpm.SEQ))
)</f>
        <v>SP-2026340002</v>
      </c>
    </row>
    <row r="8" spans="2:12" x14ac:dyDescent="0.25">
      <c r="B8">
        <f>B7+1</f>
        <v>3</v>
      </c>
      <c r="C8">
        <v>27</v>
      </c>
      <c r="D8" s="1">
        <v>46258</v>
      </c>
      <c r="E8">
        <f>IF(EMISSAOTP[[#This Row],[DATA]]="","",WEEKNUM(EMISSAOTP[[#This Row],[DATA]]))</f>
        <v>35</v>
      </c>
      <c r="F8" t="str">
        <f>_xlfn.LET(
_xlpm.ANO,YEAR(EMISSAOTP[[#This Row],[DATA]]),
_xlpm.SEM,EMISSAOTP[[#This Row],[SEMANA]],
_xlpm.PREF,"TP",
_xlpm.SEQ,TEXT(EMISSAOTP[[#This Row],[ID]],"0000"),
IF(OR(EMISSAOTP[[#This Row],[ID]]="",EMISSAOTP[[#This Row],[DATA]]="",EMISSAOTP[[#This Row],[SEMANA]]=""),"",_xlfn.CONCAT(_xlpm.PREF,"-",_xlpm.ANO,_xlpm.SEM,_xlpm.SEQ))
)</f>
        <v>TP-2026350003</v>
      </c>
      <c r="H8">
        <f>H7+1</f>
        <v>3</v>
      </c>
      <c r="I8">
        <v>27</v>
      </c>
      <c r="J8" s="1">
        <v>46258</v>
      </c>
      <c r="K8">
        <f>IF(EMISSAOSP[[#This Row],[DATA]]="","",WEEKNUM(EMISSAOSP[[#This Row],[DATA]]))</f>
        <v>35</v>
      </c>
      <c r="L8" t="str">
        <f>_xlfn.LET(
_xlpm.ANO,YEAR(EMISSAOSP[[#This Row],[DATA]]),
_xlpm.SEM,EMISSAOSP[[#This Row],[SEMANA]],
_xlpm.PREF,"SP",
_xlpm.SEQ,TEXT(EMISSAOSP[[#This Row],[ID]],"0000"),
IF(OR(EMISSAOSP[[#This Row],[ID]]="",EMISSAOSP[[#This Row],[DATA]]="",EMISSAOSP[[#This Row],[SEMANA]]=""),"",_xlfn.CONCAT(_xlpm.PREF,"-",_xlpm.ANO,_xlpm.SEM,_xlpm.SEQ))
)</f>
        <v>SP-2026350003</v>
      </c>
    </row>
    <row r="9" spans="2:12" x14ac:dyDescent="0.25">
      <c r="B9">
        <f>B8+1</f>
        <v>4</v>
      </c>
      <c r="E9" t="str">
        <f>IF(EMISSAOTP[[#This Row],[DATA]]="","",WEEKNUM(EMISSAOTP[[#This Row],[DATA]]))</f>
        <v/>
      </c>
      <c r="F9" t="str">
        <f>_xlfn.LET(
_xlpm.ANO,YEAR(EMISSAOTP[[#This Row],[DATA]]),
_xlpm.SEM,EMISSAOTP[[#This Row],[SEMANA]],
_xlpm.PREF,"TP",
_xlpm.SEQ,TEXT(EMISSAOTP[[#This Row],[ID]],"0000"),
IF(OR(EMISSAOTP[[#This Row],[ID]]="",EMISSAOTP[[#This Row],[DATA]]="",EMISSAOTP[[#This Row],[SEMANA]]=""),"",_xlfn.CONCAT(_xlpm.PREF,"-",_xlpm.ANO,_xlpm.SEM,_xlpm.SEQ))
)</f>
        <v/>
      </c>
      <c r="H9">
        <f>H8+1</f>
        <v>4</v>
      </c>
      <c r="K9" t="str">
        <f>IF(EMISSAOSP[[#This Row],[DATA]]="","",WEEKNUM(EMISSAOSP[[#This Row],[DATA]]))</f>
        <v/>
      </c>
      <c r="L9" t="str">
        <f>_xlfn.LET(
_xlpm.ANO,YEAR(EMISSAOSP[[#This Row],[DATA]]),
_xlpm.SEM,EMISSAOSP[[#This Row],[SEMANA]],
_xlpm.PREF,"SP",
_xlpm.SEQ,TEXT(EMISSAOSP[[#This Row],[ID]],"0000"),
IF(OR(EMISSAOSP[[#This Row],[ID]]="",EMISSAOSP[[#This Row],[DATA]]="",EMISSAOSP[[#This Row],[SEMANA]]=""),"",_xlfn.CONCAT(_xlpm.PREF,"-",_xlpm.ANO,_xlpm.SEM,_xlpm.SEQ))
)</f>
        <v/>
      </c>
    </row>
    <row r="10" spans="2:12" x14ac:dyDescent="0.25">
      <c r="B10">
        <f>B9+1</f>
        <v>5</v>
      </c>
      <c r="E10" t="str">
        <f>IF(EMISSAOTP[[#This Row],[DATA]]="","",WEEKNUM(EMISSAOTP[[#This Row],[DATA]]))</f>
        <v/>
      </c>
      <c r="F10" t="str">
        <f>_xlfn.LET(
_xlpm.ANO,YEAR(EMISSAOTP[[#This Row],[DATA]]),
_xlpm.SEM,EMISSAOTP[[#This Row],[SEMANA]],
_xlpm.PREF,"TP",
_xlpm.SEQ,TEXT(EMISSAOTP[[#This Row],[ID]],"0000"),
IF(OR(EMISSAOTP[[#This Row],[ID]]="",EMISSAOTP[[#This Row],[DATA]]="",EMISSAOTP[[#This Row],[SEMANA]]=""),"",_xlfn.CONCAT(_xlpm.PREF,"-",_xlpm.ANO,_xlpm.SEM,_xlpm.SEQ))
)</f>
        <v/>
      </c>
      <c r="H10">
        <f>H9+1</f>
        <v>5</v>
      </c>
      <c r="K10" t="str">
        <f>IF(EMISSAOSP[[#This Row],[DATA]]="","",WEEKNUM(EMISSAOSP[[#This Row],[DATA]]))</f>
        <v/>
      </c>
      <c r="L10" t="str">
        <f>_xlfn.LET(
_xlpm.ANO,YEAR(EMISSAOSP[[#This Row],[DATA]]),
_xlpm.SEM,EMISSAOSP[[#This Row],[SEMANA]],
_xlpm.PREF,"SP",
_xlpm.SEQ,TEXT(EMISSAOSP[[#This Row],[ID]],"0000"),
IF(OR(EMISSAOSP[[#This Row],[ID]]="",EMISSAOSP[[#This Row],[DATA]]="",EMISSAOSP[[#This Row],[SEMANA]]=""),"",_xlfn.CONCAT(_xlpm.PREF,"-",_xlpm.ANO,_xlpm.SEM,_xlpm.SEQ))
)</f>
        <v/>
      </c>
    </row>
  </sheetData>
  <mergeCells count="2">
    <mergeCell ref="B3:F3"/>
    <mergeCell ref="H3:L3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83086-3DA2-4109-8BF7-A171BEEB79DD}">
  <dimension ref="B3:F32"/>
  <sheetViews>
    <sheetView topLeftCell="A5" workbookViewId="0">
      <selection activeCell="F23" sqref="F23"/>
    </sheetView>
  </sheetViews>
  <sheetFormatPr defaultRowHeight="15" x14ac:dyDescent="0.25"/>
  <cols>
    <col min="2" max="2" width="12.140625" customWidth="1"/>
    <col min="3" max="3" width="18.42578125" customWidth="1"/>
    <col min="4" max="4" width="15" customWidth="1"/>
    <col min="5" max="5" width="21.85546875" customWidth="1"/>
    <col min="6" max="6" width="58.7109375" customWidth="1"/>
  </cols>
  <sheetData>
    <row r="3" spans="2:6" x14ac:dyDescent="0.25">
      <c r="B3" s="20" t="s">
        <v>34</v>
      </c>
      <c r="C3" s="20"/>
      <c r="D3" s="20"/>
      <c r="E3" s="20"/>
      <c r="F3" s="20"/>
    </row>
    <row r="5" spans="2:6" x14ac:dyDescent="0.25">
      <c r="B5" t="s">
        <v>1</v>
      </c>
      <c r="C5" t="s">
        <v>81</v>
      </c>
      <c r="D5" t="s">
        <v>80</v>
      </c>
      <c r="E5" t="s">
        <v>10</v>
      </c>
      <c r="F5" t="s">
        <v>11</v>
      </c>
    </row>
    <row r="6" spans="2:6" x14ac:dyDescent="0.25">
      <c r="B6">
        <v>1</v>
      </c>
      <c r="C6" t="s">
        <v>82</v>
      </c>
      <c r="E6" t="s">
        <v>19</v>
      </c>
      <c r="F6" t="s">
        <v>27</v>
      </c>
    </row>
    <row r="7" spans="2:6" x14ac:dyDescent="0.25">
      <c r="B7">
        <f>B6+1</f>
        <v>2</v>
      </c>
      <c r="C7" t="s">
        <v>82</v>
      </c>
      <c r="E7" t="s">
        <v>21</v>
      </c>
      <c r="F7" t="s">
        <v>28</v>
      </c>
    </row>
    <row r="8" spans="2:6" x14ac:dyDescent="0.25">
      <c r="B8">
        <f t="shared" ref="B8:B32" si="0">B7+1</f>
        <v>3</v>
      </c>
      <c r="C8" t="s">
        <v>82</v>
      </c>
      <c r="E8" t="s">
        <v>25</v>
      </c>
      <c r="F8" t="s">
        <v>29</v>
      </c>
    </row>
    <row r="9" spans="2:6" x14ac:dyDescent="0.25">
      <c r="B9">
        <f t="shared" si="0"/>
        <v>4</v>
      </c>
      <c r="C9" t="s">
        <v>82</v>
      </c>
      <c r="E9" t="s">
        <v>26</v>
      </c>
      <c r="F9" t="s">
        <v>30</v>
      </c>
    </row>
    <row r="10" spans="2:6" x14ac:dyDescent="0.25">
      <c r="B10">
        <f t="shared" si="0"/>
        <v>5</v>
      </c>
      <c r="C10" t="s">
        <v>82</v>
      </c>
      <c r="E10" t="s">
        <v>32</v>
      </c>
      <c r="F10" t="s">
        <v>31</v>
      </c>
    </row>
    <row r="11" spans="2:6" x14ac:dyDescent="0.25">
      <c r="B11">
        <f t="shared" si="0"/>
        <v>6</v>
      </c>
      <c r="D11" t="s">
        <v>83</v>
      </c>
      <c r="E11" t="s">
        <v>33</v>
      </c>
      <c r="F11" t="s">
        <v>31</v>
      </c>
    </row>
    <row r="12" spans="2:6" x14ac:dyDescent="0.25">
      <c r="B12">
        <f t="shared" si="0"/>
        <v>7</v>
      </c>
      <c r="C12" t="s">
        <v>84</v>
      </c>
      <c r="E12" t="s">
        <v>19</v>
      </c>
      <c r="F12" t="s">
        <v>27</v>
      </c>
    </row>
    <row r="13" spans="2:6" x14ac:dyDescent="0.25">
      <c r="B13">
        <f t="shared" si="0"/>
        <v>8</v>
      </c>
      <c r="C13" t="s">
        <v>84</v>
      </c>
      <c r="E13" t="s">
        <v>22</v>
      </c>
      <c r="F13" t="s">
        <v>28</v>
      </c>
    </row>
    <row r="14" spans="2:6" x14ac:dyDescent="0.25">
      <c r="B14">
        <f t="shared" si="0"/>
        <v>9</v>
      </c>
      <c r="C14" t="s">
        <v>84</v>
      </c>
      <c r="E14" t="s">
        <v>25</v>
      </c>
      <c r="F14" t="s">
        <v>29</v>
      </c>
    </row>
    <row r="15" spans="2:6" x14ac:dyDescent="0.25">
      <c r="B15">
        <f t="shared" si="0"/>
        <v>10</v>
      </c>
      <c r="C15" t="s">
        <v>84</v>
      </c>
      <c r="E15" t="s">
        <v>26</v>
      </c>
      <c r="F15" t="s">
        <v>30</v>
      </c>
    </row>
    <row r="16" spans="2:6" x14ac:dyDescent="0.25">
      <c r="B16">
        <f t="shared" si="0"/>
        <v>11</v>
      </c>
      <c r="C16" t="s">
        <v>84</v>
      </c>
      <c r="E16" t="s">
        <v>32</v>
      </c>
      <c r="F16" t="s">
        <v>31</v>
      </c>
    </row>
    <row r="17" spans="2:6" x14ac:dyDescent="0.25">
      <c r="B17">
        <f t="shared" si="0"/>
        <v>12</v>
      </c>
      <c r="D17" t="s">
        <v>85</v>
      </c>
      <c r="E17" t="s">
        <v>33</v>
      </c>
      <c r="F17" t="s">
        <v>31</v>
      </c>
    </row>
    <row r="18" spans="2:6" x14ac:dyDescent="0.25">
      <c r="B18">
        <f t="shared" si="0"/>
        <v>13</v>
      </c>
      <c r="C18" t="s">
        <v>99</v>
      </c>
      <c r="E18" t="s">
        <v>19</v>
      </c>
      <c r="F18" t="s">
        <v>27</v>
      </c>
    </row>
    <row r="19" spans="2:6" x14ac:dyDescent="0.25">
      <c r="B19">
        <f t="shared" si="0"/>
        <v>14</v>
      </c>
      <c r="C19" t="s">
        <v>99</v>
      </c>
      <c r="E19" t="s">
        <v>21</v>
      </c>
      <c r="F19" t="s">
        <v>28</v>
      </c>
    </row>
    <row r="20" spans="2:6" x14ac:dyDescent="0.25">
      <c r="B20">
        <f t="shared" si="0"/>
        <v>15</v>
      </c>
      <c r="C20" t="s">
        <v>99</v>
      </c>
      <c r="E20" t="s">
        <v>25</v>
      </c>
      <c r="F20" t="s">
        <v>29</v>
      </c>
    </row>
    <row r="21" spans="2:6" x14ac:dyDescent="0.25">
      <c r="B21">
        <f t="shared" si="0"/>
        <v>16</v>
      </c>
      <c r="C21" t="s">
        <v>99</v>
      </c>
      <c r="E21" t="s">
        <v>26</v>
      </c>
      <c r="F21" t="s">
        <v>30</v>
      </c>
    </row>
    <row r="22" spans="2:6" x14ac:dyDescent="0.25">
      <c r="B22">
        <f t="shared" si="0"/>
        <v>17</v>
      </c>
      <c r="C22" t="s">
        <v>99</v>
      </c>
      <c r="E22" t="s">
        <v>32</v>
      </c>
      <c r="F22" t="s">
        <v>31</v>
      </c>
    </row>
    <row r="23" spans="2:6" x14ac:dyDescent="0.25">
      <c r="B23">
        <f t="shared" si="0"/>
        <v>18</v>
      </c>
      <c r="D23" t="s">
        <v>100</v>
      </c>
      <c r="E23" t="s">
        <v>33</v>
      </c>
      <c r="F23" t="s">
        <v>31</v>
      </c>
    </row>
    <row r="24" spans="2:6" x14ac:dyDescent="0.25">
      <c r="B24">
        <f t="shared" si="0"/>
        <v>19</v>
      </c>
    </row>
    <row r="25" spans="2:6" x14ac:dyDescent="0.25">
      <c r="B25">
        <f t="shared" si="0"/>
        <v>20</v>
      </c>
    </row>
    <row r="26" spans="2:6" x14ac:dyDescent="0.25">
      <c r="B26">
        <f t="shared" si="0"/>
        <v>21</v>
      </c>
    </row>
    <row r="27" spans="2:6" x14ac:dyDescent="0.25">
      <c r="B27">
        <f t="shared" si="0"/>
        <v>22</v>
      </c>
    </row>
    <row r="28" spans="2:6" x14ac:dyDescent="0.25">
      <c r="B28">
        <f t="shared" si="0"/>
        <v>23</v>
      </c>
    </row>
    <row r="29" spans="2:6" x14ac:dyDescent="0.25">
      <c r="B29">
        <f t="shared" si="0"/>
        <v>24</v>
      </c>
    </row>
    <row r="30" spans="2:6" x14ac:dyDescent="0.25">
      <c r="B30">
        <f t="shared" si="0"/>
        <v>25</v>
      </c>
    </row>
    <row r="31" spans="2:6" x14ac:dyDescent="0.25">
      <c r="B31">
        <f t="shared" si="0"/>
        <v>26</v>
      </c>
    </row>
    <row r="32" spans="2:6" x14ac:dyDescent="0.25">
      <c r="B32">
        <f t="shared" si="0"/>
        <v>27</v>
      </c>
    </row>
  </sheetData>
  <mergeCells count="1">
    <mergeCell ref="B3:F3"/>
  </mergeCells>
  <dataValidations count="4">
    <dataValidation type="list" allowBlank="1" showInputMessage="1" showErrorMessage="1" sqref="C6:C32" xr:uid="{CC465528-8961-4407-8EC8-3DC3AD332C4E}">
      <formula1>TPS_DISPONIVEIS</formula1>
    </dataValidation>
    <dataValidation type="list" allowBlank="1" showInputMessage="1" showErrorMessage="1" sqref="D6:D32" xr:uid="{28722624-886B-4DF2-B13B-FE1CF8FC5BCE}">
      <formula1>SPS_DISPONIVEIS</formula1>
    </dataValidation>
    <dataValidation type="list" allowBlank="1" showInputMessage="1" showErrorMessage="1" sqref="E6:E32" xr:uid="{D024A16F-F2E4-455F-A631-B6CD66FF909E}">
      <formula1>INDIRECT("EMBALAGENS[EMBALAGEM]")</formula1>
    </dataValidation>
    <dataValidation type="list" allowBlank="1" showInputMessage="1" showErrorMessage="1" sqref="F6:F32" xr:uid="{131A977E-ADF4-4DBA-9E6A-33C0736A5859}">
      <formula1>INDIRECT("FORNECEDORES[FORNECEDOR]")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32930-B41A-4D1C-A5D1-519BF2D295BB}">
  <dimension ref="C4:N15"/>
  <sheetViews>
    <sheetView workbookViewId="0">
      <selection activeCell="L13" sqref="L13"/>
    </sheetView>
  </sheetViews>
  <sheetFormatPr defaultRowHeight="15" x14ac:dyDescent="0.25"/>
  <cols>
    <col min="1" max="2" width="4.42578125" customWidth="1"/>
    <col min="3" max="3" width="10.5703125" customWidth="1"/>
    <col min="4" max="4" width="58.85546875" customWidth="1"/>
    <col min="5" max="5" width="18.140625" bestFit="1" customWidth="1"/>
    <col min="6" max="6" width="17.42578125" customWidth="1"/>
    <col min="7" max="7" width="10.28515625" customWidth="1"/>
    <col min="8" max="8" width="15.85546875" customWidth="1"/>
    <col min="9" max="9" width="10.5703125" customWidth="1"/>
    <col min="10" max="10" width="4" customWidth="1"/>
    <col min="11" max="11" width="6.28515625" customWidth="1"/>
    <col min="12" max="12" width="24" customWidth="1"/>
    <col min="13" max="13" width="16.42578125" bestFit="1" customWidth="1"/>
    <col min="14" max="14" width="58.85546875" bestFit="1" customWidth="1"/>
  </cols>
  <sheetData>
    <row r="4" spans="3:14" x14ac:dyDescent="0.25">
      <c r="C4" s="20" t="s">
        <v>13</v>
      </c>
      <c r="D4" s="20"/>
      <c r="E4" s="20"/>
      <c r="F4" s="20"/>
      <c r="G4" s="20"/>
      <c r="H4" s="20"/>
      <c r="I4" s="20"/>
      <c r="K4" s="20" t="s">
        <v>12</v>
      </c>
      <c r="L4" s="20"/>
      <c r="M4" s="20"/>
      <c r="N4" s="20"/>
    </row>
    <row r="5" spans="3:14" x14ac:dyDescent="0.25">
      <c r="C5" t="s">
        <v>1</v>
      </c>
      <c r="D5" t="s">
        <v>11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K5" t="s">
        <v>1</v>
      </c>
      <c r="L5" t="s">
        <v>10</v>
      </c>
      <c r="M5" t="s">
        <v>3</v>
      </c>
      <c r="N5" t="s">
        <v>11</v>
      </c>
    </row>
    <row r="6" spans="3:14" x14ac:dyDescent="0.25">
      <c r="C6">
        <v>1</v>
      </c>
      <c r="D6" t="s">
        <v>27</v>
      </c>
      <c r="E6" t="s">
        <v>89</v>
      </c>
      <c r="F6" t="s">
        <v>90</v>
      </c>
      <c r="G6" s="2" t="b">
        <v>0</v>
      </c>
      <c r="H6" s="2" t="b">
        <v>0</v>
      </c>
      <c r="I6" s="2" t="b">
        <v>0</v>
      </c>
      <c r="K6">
        <v>1</v>
      </c>
      <c r="L6" t="s">
        <v>19</v>
      </c>
      <c r="M6" t="s">
        <v>86</v>
      </c>
      <c r="N6" t="s">
        <v>27</v>
      </c>
    </row>
    <row r="7" spans="3:14" x14ac:dyDescent="0.25">
      <c r="C7">
        <f>C6+1</f>
        <v>2</v>
      </c>
      <c r="D7" t="s">
        <v>28</v>
      </c>
      <c r="E7" t="s">
        <v>91</v>
      </c>
      <c r="F7" t="s">
        <v>92</v>
      </c>
      <c r="G7" s="2" t="b">
        <v>0</v>
      </c>
      <c r="H7" s="2" t="b">
        <v>0</v>
      </c>
      <c r="I7" s="2" t="b">
        <v>0</v>
      </c>
      <c r="K7">
        <f>K6+1</f>
        <v>2</v>
      </c>
      <c r="L7" t="s">
        <v>20</v>
      </c>
      <c r="M7" t="s">
        <v>86</v>
      </c>
      <c r="N7" t="s">
        <v>27</v>
      </c>
    </row>
    <row r="8" spans="3:14" x14ac:dyDescent="0.25">
      <c r="C8">
        <f t="shared" ref="C8:C11" si="0">C7+1</f>
        <v>3</v>
      </c>
      <c r="D8" t="s">
        <v>29</v>
      </c>
      <c r="E8" t="s">
        <v>93</v>
      </c>
      <c r="F8" t="s">
        <v>94</v>
      </c>
      <c r="G8" s="2" t="b">
        <v>0</v>
      </c>
      <c r="H8" s="2" t="b">
        <v>0</v>
      </c>
      <c r="I8" s="2" t="b">
        <v>0</v>
      </c>
      <c r="K8">
        <f t="shared" ref="K8:K15" si="1">K7+1</f>
        <v>3</v>
      </c>
      <c r="L8" t="s">
        <v>21</v>
      </c>
      <c r="M8" t="s">
        <v>86</v>
      </c>
      <c r="N8" t="s">
        <v>28</v>
      </c>
    </row>
    <row r="9" spans="3:14" x14ac:dyDescent="0.25">
      <c r="C9">
        <f t="shared" si="0"/>
        <v>4</v>
      </c>
      <c r="D9" t="s">
        <v>30</v>
      </c>
      <c r="E9" t="s">
        <v>95</v>
      </c>
      <c r="F9" t="s">
        <v>96</v>
      </c>
      <c r="G9" s="2" t="b">
        <v>0</v>
      </c>
      <c r="H9" s="2" t="b">
        <v>0</v>
      </c>
      <c r="I9" s="2" t="b">
        <v>0</v>
      </c>
      <c r="K9">
        <f t="shared" si="1"/>
        <v>4</v>
      </c>
      <c r="L9" t="s">
        <v>22</v>
      </c>
      <c r="M9" t="s">
        <v>86</v>
      </c>
      <c r="N9" t="s">
        <v>28</v>
      </c>
    </row>
    <row r="10" spans="3:14" x14ac:dyDescent="0.25">
      <c r="C10">
        <f t="shared" si="0"/>
        <v>5</v>
      </c>
      <c r="D10" t="s">
        <v>31</v>
      </c>
      <c r="E10" t="s">
        <v>97</v>
      </c>
      <c r="F10" t="s">
        <v>98</v>
      </c>
      <c r="G10" s="2" t="b">
        <v>0</v>
      </c>
      <c r="H10" s="2" t="b">
        <v>0</v>
      </c>
      <c r="I10" s="2" t="b">
        <v>0</v>
      </c>
      <c r="K10">
        <f t="shared" si="1"/>
        <v>5</v>
      </c>
      <c r="L10" t="s">
        <v>23</v>
      </c>
      <c r="M10" t="s">
        <v>86</v>
      </c>
      <c r="N10" t="s">
        <v>28</v>
      </c>
    </row>
    <row r="11" spans="3:14" x14ac:dyDescent="0.25">
      <c r="C11">
        <f t="shared" si="0"/>
        <v>6</v>
      </c>
      <c r="G11" s="2" t="b">
        <v>0</v>
      </c>
      <c r="H11" s="2" t="b">
        <v>0</v>
      </c>
      <c r="I11" s="2" t="b">
        <v>0</v>
      </c>
      <c r="K11">
        <f t="shared" si="1"/>
        <v>6</v>
      </c>
      <c r="L11" t="s">
        <v>24</v>
      </c>
      <c r="M11" t="s">
        <v>86</v>
      </c>
      <c r="N11" t="s">
        <v>28</v>
      </c>
    </row>
    <row r="12" spans="3:14" x14ac:dyDescent="0.25">
      <c r="K12">
        <f t="shared" si="1"/>
        <v>7</v>
      </c>
      <c r="L12" t="s">
        <v>25</v>
      </c>
      <c r="M12" t="s">
        <v>86</v>
      </c>
      <c r="N12" t="s">
        <v>29</v>
      </c>
    </row>
    <row r="13" spans="3:14" x14ac:dyDescent="0.25">
      <c r="K13">
        <f t="shared" si="1"/>
        <v>8</v>
      </c>
      <c r="L13" t="s">
        <v>26</v>
      </c>
      <c r="M13" t="s">
        <v>86</v>
      </c>
      <c r="N13" t="s">
        <v>30</v>
      </c>
    </row>
    <row r="14" spans="3:14" x14ac:dyDescent="0.25">
      <c r="K14">
        <f t="shared" si="1"/>
        <v>9</v>
      </c>
      <c r="L14" t="s">
        <v>32</v>
      </c>
      <c r="M14" t="s">
        <v>86</v>
      </c>
      <c r="N14" t="s">
        <v>31</v>
      </c>
    </row>
    <row r="15" spans="3:14" x14ac:dyDescent="0.25">
      <c r="K15">
        <f t="shared" si="1"/>
        <v>10</v>
      </c>
      <c r="L15" t="s">
        <v>33</v>
      </c>
      <c r="M15" t="s">
        <v>87</v>
      </c>
      <c r="N15" t="s">
        <v>31</v>
      </c>
    </row>
  </sheetData>
  <mergeCells count="2">
    <mergeCell ref="C4:I4"/>
    <mergeCell ref="K4:N4"/>
  </mergeCells>
  <dataValidations count="2">
    <dataValidation type="list" allowBlank="1" showInputMessage="1" showErrorMessage="1" sqref="N6:N15" xr:uid="{221C9132-68A8-463C-8634-A8081F9A9D2E}">
      <formula1>INDIRECT("FORNECEDORES[FORNECEDOR]")</formula1>
    </dataValidation>
    <dataValidation type="list" allowBlank="1" showInputMessage="1" showErrorMessage="1" sqref="M6:M15" xr:uid="{CE99A295-7820-4E90-BED6-FB50AF35AA80}">
      <formula1>"TRANSPORT PACKAGE,SALES PACKAGE"</formula1>
    </dataValidation>
  </dataValidation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B3A8E-D5D2-42E3-B5F8-70BE67D89883}">
  <dimension ref="B3:C6"/>
  <sheetViews>
    <sheetView workbookViewId="0">
      <selection activeCell="E16" sqref="E16"/>
    </sheetView>
  </sheetViews>
  <sheetFormatPr defaultRowHeight="15" x14ac:dyDescent="0.25"/>
  <cols>
    <col min="2" max="2" width="16.7109375" customWidth="1"/>
    <col min="3" max="3" width="15.85546875" bestFit="1" customWidth="1"/>
  </cols>
  <sheetData>
    <row r="3" spans="2:3" x14ac:dyDescent="0.25">
      <c r="B3" t="s">
        <v>35</v>
      </c>
      <c r="C3" t="s">
        <v>36</v>
      </c>
    </row>
    <row r="4" spans="2:3" x14ac:dyDescent="0.25">
      <c r="B4" t="str" cm="1">
        <f t="array" ref="B4:B6">_xlfn._xlws.FILTER(EMISSAOTP[RASTREABILIDADE],(EMISSAOTP[ID]&lt;&gt;"")*(EMISSAOTP[DATA]&lt;&gt;""),"")</f>
        <v>TP-2026330001</v>
      </c>
      <c r="C4" t="str" cm="1">
        <f t="array" ref="C4:C6">_xlfn._xlws.FILTER(EMISSAOSP[RASTREABILIDADE],(EMISSAOSP[ID]&lt;&gt;"")*(EMISSAOSP[DATA]&lt;&gt;""),"")</f>
        <v>SP-2026330001</v>
      </c>
    </row>
    <row r="5" spans="2:3" x14ac:dyDescent="0.25">
      <c r="B5" t="str">
        <v>TP-2026340002</v>
      </c>
      <c r="C5" t="str">
        <v>SP-2026340002</v>
      </c>
    </row>
    <row r="6" spans="2:3" x14ac:dyDescent="0.25">
      <c r="B6" t="str">
        <v>TP-2026350003</v>
      </c>
      <c r="C6" t="str">
        <v>SP-2026350003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3</vt:i4>
      </vt:variant>
    </vt:vector>
  </HeadingPairs>
  <TitlesOfParts>
    <vt:vector size="8" baseType="lpstr">
      <vt:lpstr>RELATÓRIO</vt:lpstr>
      <vt:lpstr>EMISSÃO</vt:lpstr>
      <vt:lpstr>CONTROLE</vt:lpstr>
      <vt:lpstr>REFERÊNCIA</vt:lpstr>
      <vt:lpstr>REFCALC</vt:lpstr>
      <vt:lpstr>RELATÓRIO!Area_de_impressao</vt:lpstr>
      <vt:lpstr>NF_SELECIONADA</vt:lpstr>
      <vt:lpstr>RELATÓRIO!Titulos_de_impressao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BATISTA DA CUNHA NETO</dc:creator>
  <cp:lastModifiedBy>JOÃO BATISTA DA CUNHA NETO</cp:lastModifiedBy>
  <cp:lastPrinted>2026-08-14T18:55:46Z</cp:lastPrinted>
  <dcterms:created xsi:type="dcterms:W3CDTF">2026-08-13T18:12:38Z</dcterms:created>
  <dcterms:modified xsi:type="dcterms:W3CDTF">2026-08-14T18:56:54Z</dcterms:modified>
</cp:coreProperties>
</file>